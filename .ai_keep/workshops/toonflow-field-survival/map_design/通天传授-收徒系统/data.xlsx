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0" autoFilterDateGrouping="1"/>
  </bookViews>
  <sheets>
    <sheet xmlns:r="http://schemas.openxmlformats.org/officeDocument/2006/relationships" name="Enemies" sheetId="1" state="visible" r:id="rId1"/>
    <sheet xmlns:r="http://schemas.openxmlformats.org/officeDocument/2006/relationships" name="Wall Textures" sheetId="2" state="visible" r:id="rId2"/>
    <sheet xmlns:r="http://schemas.openxmlformats.org/officeDocument/2006/relationships" name="Floor Textures" sheetId="3" state="visible" r:id="rId3"/>
    <sheet xmlns:r="http://schemas.openxmlformats.org/officeDocument/2006/relationships" name="Decor Textur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7"/>
      <sz val="11"/>
      <scheme val="minor"/>
    </font>
    <font>
      <name val="Fira Code"/>
      <family val="3"/>
      <color theme="7"/>
      <sz val="11"/>
    </font>
    <font>
      <name val="Calibri"/>
      <family val="2"/>
      <b val="1"/>
      <color theme="7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00DDE8F5"/>
      </patternFill>
    </fill>
  </fills>
  <borders count="9">
    <border>
      <left/>
      <right/>
      <top/>
      <bottom/>
      <diagonal/>
    </border>
    <border>
      <left style="thin">
        <color theme="1" tint="0.1499984740745262"/>
      </left>
      <right style="thin">
        <color theme="1" tint="0.1499984740745262"/>
      </right>
      <top style="thin">
        <color theme="1" tint="0.1499984740745262"/>
      </top>
      <bottom style="thin">
        <color theme="1" tint="0.1499984740745262"/>
      </bottom>
      <diagonal/>
    </border>
    <border>
      <left/>
      <right style="thin">
        <color theme="1" tint="0.1499984740745262"/>
      </right>
      <top style="thin">
        <color theme="1" tint="0.1499984740745262"/>
      </top>
      <bottom style="thin">
        <color theme="1" tint="0.1499984740745262"/>
      </bottom>
      <diagonal/>
    </border>
    <border>
      <left style="thin">
        <color theme="1" tint="0.1499984740745262"/>
      </left>
      <right/>
      <top style="thin">
        <color theme="1" tint="0.1499984740745262"/>
      </top>
      <bottom style="thin">
        <color theme="1" tint="0.1499984740745262"/>
      </bottom>
      <diagonal/>
    </border>
    <border>
      <left/>
      <right style="thin">
        <color theme="1" tint="0.1499984740745262"/>
      </right>
      <top/>
      <bottom style="thin">
        <color theme="1" tint="0.1499984740745262"/>
      </bottom>
      <diagonal/>
    </border>
    <border>
      <left style="thin">
        <color theme="1" tint="0.1499984740745262"/>
      </left>
      <right style="thin">
        <color theme="1" tint="0.1499984740745262"/>
      </right>
      <top/>
      <bottom style="thin">
        <color theme="1" tint="0.1499984740745262"/>
      </bottom>
      <diagonal/>
    </border>
    <border>
      <left style="thin">
        <color theme="1" tint="0.1499984740745262"/>
      </left>
      <right/>
      <top/>
      <bottom style="thin">
        <color theme="1" tint="0.1499984740745262"/>
      </bottom>
      <diagonal/>
    </border>
    <border>
      <left/>
      <right style="thin">
        <color theme="1" tint="0.1499984740745262"/>
      </right>
      <top style="thin">
        <color theme="1" tint="0.1499984740745262"/>
      </top>
      <bottom/>
      <diagonal/>
    </border>
    <border>
      <left style="thin">
        <color theme="1" tint="0.1499984740745262"/>
      </left>
      <right style="thin">
        <color theme="1" tint="0.1499984740745262"/>
      </right>
      <top style="thin">
        <color theme="1" tint="0.1499984740745262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left"/>
    </xf>
    <xf numFmtId="0" fontId="2" fillId="2" borderId="8" applyAlignment="1" pivotButton="0" quotePrefix="0" xfId="0">
      <alignment horizontal="left"/>
    </xf>
    <xf numFmtId="0" fontId="2" fillId="2" borderId="8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/>
  </cellStyles>
  <dxfs count="64">
    <dxf>
      <font>
        <name val="Calibri"/>
        <family val="2"/>
        <b val="1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 outline="0">
        <left style="thin">
          <color theme="1" tint="0.1499984740745262"/>
        </left>
        <right style="thin">
          <color theme="1" tint="0.149998474074526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/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/>
        <right style="thin">
          <color theme="1" tint="0.1499984740745262"/>
        </right>
        <top style="thin">
          <color theme="1" tint="0.1499984740745262"/>
        </top>
        <bottom/>
        <vertical/>
        <horizontal/>
      </border>
    </dxf>
    <dxf>
      <border outline="0">
        <top style="thin">
          <color theme="1" tint="0.1499984740745262"/>
        </top>
      </border>
    </dxf>
    <dxf>
      <border outline="0">
        <bottom style="thin">
          <color theme="1" tint="0.1499984740745262"/>
        </bottom>
      </border>
    </dxf>
    <dxf>
      <border outline="0"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/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>
        <left/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border outline="0">
        <top style="thin">
          <color theme="1" tint="0.1499984740745262"/>
        </top>
      </border>
    </dxf>
    <dxf>
      <border outline="0"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</dxf>
    <dxf>
      <border outline="0">
        <bottom style="thin">
          <color theme="1" tint="0.1499984740745262"/>
        </bottom>
      </border>
    </dxf>
    <dxf>
      <font>
        <name val="Calibri"/>
        <family val="2"/>
        <b val="1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center" vertical="bottom"/>
      <border outline="0">
        <left style="thin">
          <color theme="1" tint="0.1499984740745262"/>
        </left>
        <right style="thin">
          <color theme="1" tint="0.1499984740745262"/>
        </right>
        <top/>
        <bottom/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numFmt numFmtId="0" formatCode="General"/>
      <fill>
        <patternFill patternType="solid">
          <fgColor indexed="64"/>
          <bgColor theme="1"/>
        </patternFill>
      </fill>
      <alignment horizontal="center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left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left" vertical="bottom"/>
      <border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7"/>
        <extend val="0"/>
        <sz val="11"/>
        <vertAlign val="baseline"/>
        <scheme val="minor"/>
      </font>
      <fill>
        <patternFill patternType="solid">
          <fgColor indexed="64"/>
          <bgColor theme="1"/>
        </patternFill>
      </fill>
      <alignment horizontal="left" vertical="bottom"/>
      <border>
        <left/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  <vertical/>
        <horizontal/>
      </border>
    </dxf>
    <dxf>
      <border outline="0">
        <top style="thin">
          <color theme="1" tint="0.1499984740745262"/>
        </top>
      </border>
    </dxf>
    <dxf>
      <border outline="0">
        <left style="thin">
          <color theme="1" tint="0.1499984740745262"/>
        </left>
        <right style="thin">
          <color theme="1" tint="0.1499984740745262"/>
        </right>
        <top style="thin">
          <color theme="1" tint="0.1499984740745262"/>
        </top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center" vertical="bottom"/>
    </dxf>
    <dxf>
      <border outline="0">
        <bottom style="thin">
          <color theme="1" tint="0.1499984740745262"/>
        </bottom>
      </border>
    </dxf>
    <dxf>
      <font>
        <name val="Fira Code"/>
        <family val="3"/>
        <strike val="0"/>
        <outline val="0"/>
        <shadow val="0"/>
        <condense val="0"/>
        <color theme="7"/>
        <extend val="0"/>
        <sz val="11"/>
        <vertAlign val="baseline"/>
      </font>
      <fill>
        <patternFill patternType="solid">
          <fgColor indexed="64"/>
          <bgColor theme="1"/>
        </patternFill>
      </fill>
      <alignment horizontal="center" vertical="bottom"/>
      <border outline="0">
        <left style="thin">
          <color theme="1" tint="0.1499984740745262"/>
        </left>
        <right style="thin">
          <color theme="1" tint="0.1499984740745262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1" displayName="Table1" ref="A1:L23" headerRowCount="1" totalsRowShown="0" headerRowDxfId="63" dataDxfId="61" headerRowBorderDxfId="62" tableBorderDxfId="60" totalsRowBorderDxfId="59">
  <autoFilter ref="A1:L23"/>
  <sortState ref="A2:J23">
    <sortCondition ref="D1:D23"/>
  </sortState>
  <tableColumns count="12">
    <tableColumn id="1" name="id" dataDxfId="58">
      <calculatedColumnFormula>UPPER(SUBSTITUTE(B2, " ", "_"))</calculatedColumnFormula>
    </tableColumn>
    <tableColumn id="2" name="name" dataDxfId="57"/>
    <tableColumn id="3" name="description" dataDxfId="56"/>
    <tableColumn id="5" name="hp" dataDxfId="55"/>
    <tableColumn id="6" name="mana" dataDxfId="54"/>
    <tableColumn id="7" name="str" dataDxfId="53"/>
    <tableColumn id="8" name="def" dataDxfId="52"/>
    <tableColumn id="9" name="range" dataDxfId="51"/>
    <tableColumn id="10" name="morale" dataDxfId="50"/>
    <tableColumn id="11" name="wanders" dataDxfId="49"/>
    <tableColumn id="13" name="maxhp" dataDxfId="48">
      <calculatedColumnFormula>Table1[[#This Row],[hp]]</calculatedColumnFormula>
    </tableColumn>
    <tableColumn id="14" name="maxmana" dataDxfId="47">
      <calculatedColumnFormula>Table1[[#This Row],[mana]]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25" headerRowCount="1" totalsRowShown="0" headerRowDxfId="46" dataDxfId="44" headerRowBorderDxfId="45" tableBorderDxfId="43" totalsRowBorderDxfId="42">
  <tableColumns count="19">
    <tableColumn id="1" name="id" dataDxfId="41">
      <calculatedColumnFormula>UPPER(SUBSTITUTE(B2, " ", "_"))</calculatedColumnFormula>
    </tableColumn>
    <tableColumn id="2" name="name" dataDxfId="40"/>
    <tableColumn id="3" name="upperLeft" dataDxfId="39"/>
    <tableColumn id="4" name="top" dataDxfId="38"/>
    <tableColumn id="5" name="upperRight" dataDxfId="37"/>
    <tableColumn id="6" name="left" dataDxfId="36"/>
    <tableColumn id="7" name="center" dataDxfId="35"/>
    <tableColumn id="8" name="right" dataDxfId="34"/>
    <tableColumn id="9" name="lowerLeft" dataDxfId="33"/>
    <tableColumn id="10" name="bottom" dataDxfId="32"/>
    <tableColumn id="11" name="lowerRight" dataDxfId="31"/>
    <tableColumn id="12" name="endBottom" dataDxfId="30"/>
    <tableColumn id="13" name="endTop" dataDxfId="29"/>
    <tableColumn id="14" name="island" dataDxfId="28"/>
    <tableColumn id="15" name="leftT" dataDxfId="27"/>
    <tableColumn id="16" name="middleT" dataDxfId="26"/>
    <tableColumn id="17" name="rightT" dataDxfId="25"/>
    <tableColumn id="18" name="topT" dataDxfId="24"/>
    <tableColumn id="19" name="bottomT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R21" headerRowCount="1" totalsRowShown="0" headerRowDxfId="0" dataDxfId="1" headerRowBorderDxfId="21" tableBorderDxfId="22" totalsRowBorderDxfId="20">
  <tableColumns count="18">
    <tableColumn id="1" name="id" dataDxfId="19">
      <calculatedColumnFormula>UPPER(SUBSTITUTE(B2, " ", "_"))</calculatedColumnFormula>
    </tableColumn>
    <tableColumn id="2" name="name" dataDxfId="18"/>
    <tableColumn id="3" name="upperLeft" dataDxfId="17"/>
    <tableColumn id="4" name="top" dataDxfId="16"/>
    <tableColumn id="5" name="upperRight" dataDxfId="15"/>
    <tableColumn id="6" name="left" dataDxfId="14"/>
    <tableColumn id="7" name="center" dataDxfId="13"/>
    <tableColumn id="8" name="right" dataDxfId="12"/>
    <tableColumn id="9" name="lowerLeft" dataDxfId="11"/>
    <tableColumn id="10" name="bottom" dataDxfId="10"/>
    <tableColumn id="11" name="lowerRight" dataDxfId="9"/>
    <tableColumn id="12" name="endLeft" dataDxfId="8"/>
    <tableColumn id="13" name="middleCorridorHorizontal" dataDxfId="7"/>
    <tableColumn id="14" name="endRight" dataDxfId="6"/>
    <tableColumn id="15" name="endTop" dataDxfId="5"/>
    <tableColumn id="16" name="middleCorridorVertical" dataDxfId="4"/>
    <tableColumn id="17" name="endBottom" dataDxfId="3"/>
    <tableColumn id="18" name="sing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zoomScale="115" zoomScaleNormal="115" workbookViewId="0">
      <selection activeCell="C17" sqref="C17"/>
    </sheetView>
  </sheetViews>
  <sheetFormatPr baseColWidth="8" defaultRowHeight="15"/>
  <cols>
    <col width="15" bestFit="1" customWidth="1" style="1" min="1" max="1"/>
    <col width="18.28515625" bestFit="1" customWidth="1" style="1" min="2" max="2"/>
    <col width="79.42578125" bestFit="1" customWidth="1" style="1" min="3" max="3"/>
    <col width="8.42578125" bestFit="1" customWidth="1" style="1" min="4" max="4"/>
    <col width="11" bestFit="1" customWidth="1" style="1" min="5" max="5"/>
    <col width="9.7109375" bestFit="1" customWidth="1" style="1" min="6" max="7"/>
    <col width="12.28515625" bestFit="1" customWidth="1" style="1" min="8" max="8"/>
    <col width="13.5703125" bestFit="1" customWidth="1" style="1" min="9" max="9"/>
    <col width="14.85546875" bestFit="1" customWidth="1" style="1" min="10" max="10"/>
    <col width="12.28515625" bestFit="1" customWidth="1" style="1" min="11" max="11"/>
    <col width="14.85546875" bestFit="1" customWidth="1" style="1" min="12" max="12"/>
    <col width="9.140625" customWidth="1" style="1" min="13" max="16384"/>
  </cols>
  <sheetData>
    <row r="1">
      <c r="A1" s="4" t="inlineStr">
        <is>
          <t>id</t>
        </is>
      </c>
      <c r="B1" s="12" t="inlineStr">
        <is>
          <t>name</t>
        </is>
      </c>
      <c r="C1" s="12" t="inlineStr">
        <is>
          <t>description</t>
        </is>
      </c>
      <c r="D1" s="12" t="inlineStr">
        <is>
          <t>hp</t>
        </is>
      </c>
      <c r="E1" s="12" t="inlineStr">
        <is>
          <t>mana</t>
        </is>
      </c>
      <c r="F1" s="12" t="inlineStr">
        <is>
          <t>str</t>
        </is>
      </c>
      <c r="G1" s="12" t="inlineStr">
        <is>
          <t>def</t>
        </is>
      </c>
      <c r="H1" s="6" t="inlineStr">
        <is>
          <t>range</t>
        </is>
      </c>
      <c r="I1" s="12" t="inlineStr">
        <is>
          <t>morale</t>
        </is>
      </c>
      <c r="J1" s="12" t="inlineStr">
        <is>
          <t>wanders</t>
        </is>
      </c>
      <c r="K1" s="12" t="inlineStr">
        <is>
          <t>maxhp</t>
        </is>
      </c>
      <c r="L1" s="12" t="inlineStr">
        <is>
          <t>maxmana</t>
        </is>
      </c>
    </row>
    <row r="2">
      <c r="A2" s="3">
        <f>UPPER(SUBSTITUTE(B2, " ", "_"))</f>
        <v/>
      </c>
      <c r="B2" s="2" t="inlineStr">
        <is>
          <t>rat</t>
        </is>
      </c>
      <c r="C2" s="2" t="inlineStr">
        <is>
          <t>A small, fat rat.</t>
        </is>
      </c>
      <c r="D2" s="10" t="n">
        <v>3</v>
      </c>
      <c r="E2" s="10" t="n">
        <v>5</v>
      </c>
      <c r="F2" s="10" t="n">
        <v>1</v>
      </c>
      <c r="G2" s="10" t="n">
        <v>1</v>
      </c>
      <c r="H2" s="11" t="n">
        <v>7</v>
      </c>
      <c r="I2" s="12" t="n">
        <v>1</v>
      </c>
      <c r="J2" s="12" t="b">
        <v>1</v>
      </c>
      <c r="K2" s="12">
        <f>Table1[[#This Row],[hp]]</f>
        <v/>
      </c>
      <c r="L2" s="12">
        <f>Table1[[#This Row],[mana]]</f>
        <v/>
      </c>
    </row>
    <row r="3">
      <c r="A3" s="3">
        <f>UPPER(SUBSTITUTE(B3, " ", "_"))</f>
        <v/>
      </c>
      <c r="B3" s="2" t="inlineStr">
        <is>
          <t>bat</t>
        </is>
      </c>
      <c r="C3" s="2" t="inlineStr">
        <is>
          <t>A creature of the night.</t>
        </is>
      </c>
      <c r="D3" s="10" t="n">
        <v>7</v>
      </c>
      <c r="E3" s="10" t="n">
        <v>5</v>
      </c>
      <c r="F3" s="10" t="n">
        <v>2</v>
      </c>
      <c r="G3" s="10" t="n">
        <v>1</v>
      </c>
      <c r="H3" s="11" t="n">
        <v>7</v>
      </c>
      <c r="I3" s="12" t="n">
        <v>0.4</v>
      </c>
      <c r="J3" s="12" t="b">
        <v>1</v>
      </c>
      <c r="K3" s="10">
        <f>Table1[[#This Row],[hp]]</f>
        <v/>
      </c>
      <c r="L3" s="10">
        <f>Table1[[#This Row],[mana]]</f>
        <v/>
      </c>
    </row>
    <row r="4">
      <c r="A4" s="3">
        <f>UPPER(SUBSTITUTE(B4, " ", "_"))</f>
        <v/>
      </c>
      <c r="B4" s="2" t="inlineStr">
        <is>
          <t>snake</t>
        </is>
      </c>
      <c r="C4" s="2" t="inlineStr">
        <is>
          <t>A sneaky, slithering reptile.</t>
        </is>
      </c>
      <c r="D4" s="10" t="n">
        <v>7</v>
      </c>
      <c r="E4" s="10" t="n">
        <v>5</v>
      </c>
      <c r="F4" s="10" t="n">
        <v>4</v>
      </c>
      <c r="G4" s="10" t="n">
        <v>1</v>
      </c>
      <c r="H4" s="11" t="n">
        <v>7</v>
      </c>
      <c r="I4" s="12" t="n">
        <v>0</v>
      </c>
      <c r="J4" s="12" t="b">
        <v>1</v>
      </c>
      <c r="K4" s="10">
        <f>Table1[[#This Row],[hp]]</f>
        <v/>
      </c>
      <c r="L4" s="10">
        <f>Table1[[#This Row],[mana]]</f>
        <v/>
      </c>
    </row>
    <row r="5">
      <c r="A5" s="3">
        <f>UPPER(SUBSTITUTE(B5, " ", "_"))</f>
        <v/>
      </c>
      <c r="B5" s="2" t="inlineStr">
        <is>
          <t>wild goat</t>
        </is>
      </c>
      <c r="C5" s="2" t="inlineStr">
        <is>
          <t>A really pissed off goat!</t>
        </is>
      </c>
      <c r="D5" s="10" t="n">
        <v>8</v>
      </c>
      <c r="E5" s="10" t="n">
        <v>5</v>
      </c>
      <c r="F5" s="10" t="n">
        <v>2</v>
      </c>
      <c r="G5" s="10" t="n">
        <v>1</v>
      </c>
      <c r="H5" s="11" t="n">
        <v>7</v>
      </c>
      <c r="I5" s="12" t="n">
        <v>0</v>
      </c>
      <c r="J5" s="12" t="b">
        <v>1</v>
      </c>
      <c r="K5" s="10">
        <f>Table1[[#This Row],[hp]]</f>
        <v/>
      </c>
      <c r="L5" s="10">
        <f>Table1[[#This Row],[mana]]</f>
        <v/>
      </c>
    </row>
    <row r="6">
      <c r="A6" s="3">
        <f>UPPER(SUBSTITUTE(B6, " ", "_"))</f>
        <v/>
      </c>
      <c r="B6" s="2" t="inlineStr">
        <is>
          <t>goblin</t>
        </is>
      </c>
      <c r="C6" s="2" t="inlineStr">
        <is>
          <t>A mean and green goblin.</t>
        </is>
      </c>
      <c r="D6" s="10" t="n">
        <v>10</v>
      </c>
      <c r="E6" s="10" t="n">
        <v>5</v>
      </c>
      <c r="F6" s="10" t="n">
        <v>3</v>
      </c>
      <c r="G6" s="10" t="n">
        <v>1</v>
      </c>
      <c r="H6" s="11" t="n">
        <v>7</v>
      </c>
      <c r="I6" s="12" t="n">
        <v>0.2</v>
      </c>
      <c r="J6" s="12" t="b">
        <v>1</v>
      </c>
      <c r="K6" s="10">
        <f>Table1[[#This Row],[hp]]</f>
        <v/>
      </c>
      <c r="L6" s="10">
        <f>Table1[[#This Row],[mana]]</f>
        <v/>
      </c>
    </row>
    <row r="7">
      <c r="A7" s="3">
        <f>UPPER(SUBSTITUTE(B7, " ", "_"))</f>
        <v/>
      </c>
      <c r="B7" s="2" t="inlineStr">
        <is>
          <t>zombie</t>
        </is>
      </c>
      <c r="C7" s="2" t="inlineStr">
        <is>
          <t>A deadful, limping humanoid made of rotten flesh.</t>
        </is>
      </c>
      <c r="D7" s="10" t="n">
        <v>13</v>
      </c>
      <c r="E7" s="10" t="n">
        <v>5</v>
      </c>
      <c r="F7" s="10" t="n">
        <v>3</v>
      </c>
      <c r="G7" s="10" t="n">
        <v>1</v>
      </c>
      <c r="H7" s="11" t="n">
        <v>7</v>
      </c>
      <c r="I7" s="12" t="n">
        <v>0</v>
      </c>
      <c r="J7" s="12" t="b">
        <v>1</v>
      </c>
      <c r="K7" s="10">
        <f>Table1[[#This Row],[hp]]</f>
        <v/>
      </c>
      <c r="L7" s="10">
        <f>Table1[[#This Row],[mana]]</f>
        <v/>
      </c>
    </row>
    <row r="8">
      <c r="A8" s="3">
        <f>UPPER(SUBSTITUTE(B8, " ", "_"))</f>
        <v/>
      </c>
      <c r="B8" s="2" t="inlineStr">
        <is>
          <t>imp</t>
        </is>
      </c>
      <c r="C8" s="2" t="inlineStr">
        <is>
          <t>A small, mischevous demon.</t>
        </is>
      </c>
      <c r="D8" s="10" t="n">
        <v>15</v>
      </c>
      <c r="E8" s="10" t="n">
        <v>5</v>
      </c>
      <c r="F8" s="10" t="n">
        <v>5</v>
      </c>
      <c r="G8" s="10" t="n">
        <v>1</v>
      </c>
      <c r="H8" s="11" t="n">
        <v>7</v>
      </c>
      <c r="I8" s="12" t="n">
        <v>1</v>
      </c>
      <c r="J8" s="12" t="b">
        <v>1</v>
      </c>
      <c r="K8" s="10">
        <f>Table1[[#This Row],[hp]]</f>
        <v/>
      </c>
      <c r="L8" s="10">
        <f>Table1[[#This Row],[mana]]</f>
        <v/>
      </c>
    </row>
    <row r="9">
      <c r="A9" s="3">
        <f>UPPER(SUBSTITUTE(B9, " ", "_"))</f>
        <v/>
      </c>
      <c r="B9" s="2" t="inlineStr">
        <is>
          <t>skeleton</t>
        </is>
      </c>
      <c r="C9" s="2" t="inlineStr">
        <is>
          <t>An undead collection of bones!</t>
        </is>
      </c>
      <c r="D9" s="10" t="n">
        <v>18</v>
      </c>
      <c r="E9" s="10" t="n">
        <v>5</v>
      </c>
      <c r="F9" s="10" t="n">
        <v>5</v>
      </c>
      <c r="G9" s="10" t="n">
        <v>1</v>
      </c>
      <c r="H9" s="11" t="n">
        <v>7</v>
      </c>
      <c r="I9" s="12" t="n">
        <v>0</v>
      </c>
      <c r="J9" s="12" t="b">
        <v>1</v>
      </c>
      <c r="K9" s="10">
        <f>Table1[[#This Row],[hp]]</f>
        <v/>
      </c>
      <c r="L9" s="10">
        <f>Table1[[#This Row],[mana]]</f>
        <v/>
      </c>
    </row>
    <row r="10">
      <c r="A10" s="3">
        <f>UPPER(SUBSTITUTE(B10, " ", "_"))</f>
        <v/>
      </c>
      <c r="B10" s="2" t="inlineStr">
        <is>
          <t>kobold</t>
        </is>
      </c>
      <c r="C10" s="2" t="inlineStr">
        <is>
          <t>A sneaky and shrewd reptile.</t>
        </is>
      </c>
      <c r="D10" s="10" t="n">
        <v>20</v>
      </c>
      <c r="E10" s="10" t="n">
        <v>5</v>
      </c>
      <c r="F10" s="10" t="n">
        <v>7</v>
      </c>
      <c r="G10" s="10" t="n">
        <v>1</v>
      </c>
      <c r="H10" s="11" t="n">
        <v>7</v>
      </c>
      <c r="I10" s="12" t="n">
        <v>0</v>
      </c>
      <c r="J10" s="12" t="b">
        <v>1</v>
      </c>
      <c r="K10" s="10">
        <f>Table1[[#This Row],[hp]]</f>
        <v/>
      </c>
      <c r="L10" s="10">
        <f>Table1[[#This Row],[mana]]</f>
        <v/>
      </c>
    </row>
    <row r="11">
      <c r="A11" s="3">
        <f>UPPER(SUBSTITUTE(B11, " ", "_"))</f>
        <v/>
      </c>
      <c r="B11" s="2" t="inlineStr">
        <is>
          <t>ice elemental</t>
        </is>
      </c>
      <c r="C11" s="2" t="inlineStr">
        <is>
          <t>A living icicle.</t>
        </is>
      </c>
      <c r="D11" s="10" t="n">
        <v>25</v>
      </c>
      <c r="E11" s="10" t="n">
        <v>5</v>
      </c>
      <c r="F11" s="10" t="n">
        <v>15</v>
      </c>
      <c r="G11" s="10" t="n">
        <v>1</v>
      </c>
      <c r="H11" s="11" t="n">
        <v>7</v>
      </c>
      <c r="I11" s="12" t="n">
        <v>0</v>
      </c>
      <c r="J11" s="12" t="b">
        <v>1</v>
      </c>
      <c r="K11" s="10">
        <f>Table1[[#This Row],[hp]]</f>
        <v/>
      </c>
      <c r="L11" s="10">
        <f>Table1[[#This Row],[mana]]</f>
        <v/>
      </c>
    </row>
    <row r="12">
      <c r="A12" s="3">
        <f>UPPER(SUBSTITUTE(B12, " ", "_"))</f>
        <v/>
      </c>
      <c r="B12" s="2" t="inlineStr">
        <is>
          <t>orc</t>
        </is>
      </c>
      <c r="C12" s="2" t="inlineStr">
        <is>
          <t>A large, green-skinned brute.</t>
        </is>
      </c>
      <c r="D12" s="10" t="n">
        <v>30</v>
      </c>
      <c r="E12" s="10" t="n">
        <v>5</v>
      </c>
      <c r="F12" s="10" t="n">
        <v>7</v>
      </c>
      <c r="G12" s="10" t="n">
        <v>1</v>
      </c>
      <c r="H12" s="11" t="n">
        <v>7</v>
      </c>
      <c r="I12" s="12" t="n">
        <v>0</v>
      </c>
      <c r="J12" s="12" t="b">
        <v>1</v>
      </c>
      <c r="K12" s="10">
        <f>Table1[[#This Row],[hp]]</f>
        <v/>
      </c>
      <c r="L12" s="10">
        <f>Table1[[#This Row],[mana]]</f>
        <v/>
      </c>
    </row>
    <row r="13">
      <c r="A13" s="3">
        <f>UPPER(SUBSTITUTE(B13, " ", "_"))</f>
        <v/>
      </c>
      <c r="B13" s="2" t="inlineStr">
        <is>
          <t>boneman</t>
        </is>
      </c>
      <c r="C13" s="2" t="inlineStr">
        <is>
          <t>A mysterious creature with a skull for a head.</t>
        </is>
      </c>
      <c r="D13" s="10" t="n">
        <v>35</v>
      </c>
      <c r="E13" s="10" t="n">
        <v>5</v>
      </c>
      <c r="F13" s="10" t="n">
        <v>6</v>
      </c>
      <c r="G13" s="10" t="n">
        <v>1</v>
      </c>
      <c r="H13" s="11" t="n">
        <v>7</v>
      </c>
      <c r="I13" s="12" t="n">
        <v>0</v>
      </c>
      <c r="J13" s="12" t="b">
        <v>1</v>
      </c>
      <c r="K13" s="10">
        <f>Table1[[#This Row],[hp]]</f>
        <v/>
      </c>
      <c r="L13" s="10">
        <f>Table1[[#This Row],[mana]]</f>
        <v/>
      </c>
    </row>
    <row r="14">
      <c r="A14" s="3">
        <f>UPPER(SUBSTITUTE(B14, " ", "_"))</f>
        <v/>
      </c>
      <c r="B14" s="2" t="inlineStr">
        <is>
          <t>demon</t>
        </is>
      </c>
      <c r="C14" s="2" t="inlineStr">
        <is>
          <t>A being born out of demonic energy from another plane.</t>
        </is>
      </c>
      <c r="D14" s="10" t="n">
        <v>35</v>
      </c>
      <c r="E14" s="10" t="n">
        <v>5</v>
      </c>
      <c r="F14" s="10" t="n">
        <v>6</v>
      </c>
      <c r="G14" s="10" t="n">
        <v>1</v>
      </c>
      <c r="H14" s="11" t="n">
        <v>7</v>
      </c>
      <c r="I14" s="12" t="n">
        <v>0</v>
      </c>
      <c r="J14" s="12" t="b">
        <v>1</v>
      </c>
      <c r="K14" s="10">
        <f>Table1[[#This Row],[hp]]</f>
        <v/>
      </c>
      <c r="L14" s="10">
        <f>Table1[[#This Row],[mana]]</f>
        <v/>
      </c>
    </row>
    <row r="15">
      <c r="A15" s="3">
        <f>UPPER(SUBSTITUTE(B15, " ", "_"))</f>
        <v/>
      </c>
      <c r="B15" s="2" t="inlineStr">
        <is>
          <t>ghost</t>
        </is>
      </c>
      <c r="C15" s="2" t="inlineStr">
        <is>
          <t>A dead soul trapped in this corporeal realm.</t>
        </is>
      </c>
      <c r="D15" s="10" t="n">
        <v>35</v>
      </c>
      <c r="E15" s="10" t="n">
        <v>5</v>
      </c>
      <c r="F15" s="10" t="n">
        <v>3</v>
      </c>
      <c r="G15" s="10" t="n">
        <v>1</v>
      </c>
      <c r="H15" s="11" t="n">
        <v>7</v>
      </c>
      <c r="I15" s="12" t="n">
        <v>0</v>
      </c>
      <c r="J15" s="12" t="b">
        <v>1</v>
      </c>
      <c r="K15" s="10">
        <f>Table1[[#This Row],[hp]]</f>
        <v/>
      </c>
      <c r="L15" s="10">
        <f>Table1[[#This Row],[mana]]</f>
        <v/>
      </c>
    </row>
    <row r="16">
      <c r="A16" s="7">
        <f>UPPER(SUBSTITUTE(B16, " ", "_"))</f>
        <v/>
      </c>
      <c r="B16" s="8" t="inlineStr">
        <is>
          <t>mummy</t>
        </is>
      </c>
      <c r="C16" s="8" t="inlineStr">
        <is>
          <t>A member of the undead, wrapped in linen.</t>
        </is>
      </c>
      <c r="D16" s="13" t="n">
        <v>40</v>
      </c>
      <c r="E16" s="13" t="n">
        <v>5</v>
      </c>
      <c r="F16" s="13" t="n">
        <v>5</v>
      </c>
      <c r="G16" s="13" t="n">
        <v>1</v>
      </c>
      <c r="H16" s="11" t="n">
        <v>7</v>
      </c>
      <c r="I16" s="12" t="n">
        <v>0</v>
      </c>
      <c r="J16" s="12" t="b">
        <v>1</v>
      </c>
      <c r="K16" s="10">
        <f>Table1[[#This Row],[hp]]</f>
        <v/>
      </c>
      <c r="L16" s="10">
        <f>Table1[[#This Row],[mana]]</f>
        <v/>
      </c>
    </row>
    <row r="17">
      <c r="A17" s="7">
        <f>UPPER(SUBSTITUTE(B17, " ", "_"))</f>
        <v/>
      </c>
      <c r="B17" s="8" t="inlineStr">
        <is>
          <t>siren</t>
        </is>
      </c>
      <c r="C17" s="8" t="inlineStr">
        <is>
          <t>A beautiful woman…serpent with wings.</t>
        </is>
      </c>
      <c r="D17" s="13" t="n">
        <v>40</v>
      </c>
      <c r="E17" s="13" t="n">
        <v>5</v>
      </c>
      <c r="F17" s="13" t="n">
        <v>8</v>
      </c>
      <c r="G17" s="13" t="n">
        <v>1</v>
      </c>
      <c r="H17" s="11" t="n">
        <v>7</v>
      </c>
      <c r="I17" s="13" t="n">
        <v>0</v>
      </c>
      <c r="J17" s="13" t="b">
        <v>1</v>
      </c>
      <c r="K17" s="10">
        <f>Table1[[#This Row],[hp]]</f>
        <v/>
      </c>
      <c r="L17" s="10">
        <f>Table1[[#This Row],[mana]]</f>
        <v/>
      </c>
    </row>
    <row r="18">
      <c r="A18" s="7">
        <f>UPPER(SUBSTITUTE(B18, " ", "_"))</f>
        <v/>
      </c>
      <c r="B18" s="8" t="inlineStr">
        <is>
          <t>troll</t>
        </is>
      </c>
      <c r="C18" s="8" t="inlineStr">
        <is>
          <t>A large, strong and stupid creature.</t>
        </is>
      </c>
      <c r="D18" s="13" t="n">
        <v>45</v>
      </c>
      <c r="E18" s="13" t="n">
        <v>5</v>
      </c>
      <c r="F18" s="13" t="n">
        <v>12</v>
      </c>
      <c r="G18" s="13" t="n">
        <v>1</v>
      </c>
      <c r="H18" s="11" t="n">
        <v>7</v>
      </c>
      <c r="I18" s="13" t="n">
        <v>0</v>
      </c>
      <c r="J18" s="13" t="b">
        <v>1</v>
      </c>
      <c r="K18" s="10">
        <f>Table1[[#This Row],[hp]]</f>
        <v/>
      </c>
      <c r="L18" s="10">
        <f>Table1[[#This Row],[mana]]</f>
        <v/>
      </c>
    </row>
    <row r="19">
      <c r="A19" s="3">
        <f>UPPER(SUBSTITUTE(B19, " ", "_"))</f>
        <v/>
      </c>
      <c r="B19" s="2" t="inlineStr">
        <is>
          <t>banshee</t>
        </is>
      </c>
      <c r="C19" s="2" t="inlineStr">
        <is>
          <t>A cursed, screaming female spirit.</t>
        </is>
      </c>
      <c r="D19" s="10" t="n">
        <v>50</v>
      </c>
      <c r="E19" s="10" t="n">
        <v>5</v>
      </c>
      <c r="F19" s="10" t="n">
        <v>8</v>
      </c>
      <c r="G19" s="10" t="n">
        <v>1</v>
      </c>
      <c r="H19" s="11" t="n">
        <v>7</v>
      </c>
      <c r="I19" s="13" t="n">
        <v>0</v>
      </c>
      <c r="J19" s="13" t="b">
        <v>1</v>
      </c>
      <c r="K19" s="10">
        <f>Table1[[#This Row],[hp]]</f>
        <v/>
      </c>
      <c r="L19" s="10">
        <f>Table1[[#This Row],[mana]]</f>
        <v/>
      </c>
    </row>
    <row r="20">
      <c r="A20" s="3">
        <f>UPPER(SUBSTITUTE(B20, " ", "_"))</f>
        <v/>
      </c>
      <c r="B20" s="2" t="inlineStr">
        <is>
          <t>golem</t>
        </is>
      </c>
      <c r="C20" s="2" t="inlineStr">
        <is>
          <t>A being weaved together by magical elements.</t>
        </is>
      </c>
      <c r="D20" s="10" t="n">
        <v>50</v>
      </c>
      <c r="E20" s="10" t="n">
        <v>5</v>
      </c>
      <c r="F20" s="10" t="n">
        <v>15</v>
      </c>
      <c r="G20" s="10" t="n">
        <v>1</v>
      </c>
      <c r="H20" s="11" t="n">
        <v>7</v>
      </c>
      <c r="I20" s="13" t="n">
        <v>0</v>
      </c>
      <c r="J20" s="13" t="b">
        <v>1</v>
      </c>
      <c r="K20" s="10">
        <f>Table1[[#This Row],[hp]]</f>
        <v/>
      </c>
      <c r="L20" s="10">
        <f>Table1[[#This Row],[mana]]</f>
        <v/>
      </c>
    </row>
    <row r="21">
      <c r="A21" s="7">
        <f>UPPER(SUBSTITUTE(B21, " ", "_"))</f>
        <v/>
      </c>
      <c r="B21" s="8" t="inlineStr">
        <is>
          <t>cyclops</t>
        </is>
      </c>
      <c r="C21" s="8" t="inlineStr">
        <is>
          <t>A towering giant humanoid with one eye.</t>
        </is>
      </c>
      <c r="D21" s="13" t="n">
        <v>55</v>
      </c>
      <c r="E21" s="10" t="n">
        <v>5</v>
      </c>
      <c r="F21" s="13" t="n">
        <v>14</v>
      </c>
      <c r="G21" s="13" t="n">
        <v>1</v>
      </c>
      <c r="H21" s="11" t="n">
        <v>7</v>
      </c>
      <c r="I21" s="13" t="n">
        <v>0</v>
      </c>
      <c r="J21" s="13" t="b">
        <v>1</v>
      </c>
      <c r="K21" s="10">
        <f>Table1[[#This Row],[hp]]</f>
        <v/>
      </c>
      <c r="L21" s="10">
        <f>Table1[[#This Row],[mana]]</f>
        <v/>
      </c>
    </row>
    <row r="22">
      <c r="A22" s="7">
        <f>UPPER(SUBSTITUTE(B22, " ", "_"))</f>
        <v/>
      </c>
      <c r="B22" s="8" t="inlineStr">
        <is>
          <t>minotaur</t>
        </is>
      </c>
      <c r="C22" s="8" t="inlineStr">
        <is>
          <t>An enraged beast with the head of a bull and body of a man.</t>
        </is>
      </c>
      <c r="D22" s="13" t="n">
        <v>60</v>
      </c>
      <c r="E22" s="13" t="n">
        <v>5</v>
      </c>
      <c r="F22" s="13" t="n">
        <v>16</v>
      </c>
      <c r="G22" s="13" t="n">
        <v>1</v>
      </c>
      <c r="H22" s="11" t="n">
        <v>7</v>
      </c>
      <c r="I22" s="13" t="n">
        <v>0</v>
      </c>
      <c r="J22" s="13" t="b">
        <v>1</v>
      </c>
      <c r="K22" s="10">
        <f>Table1[[#This Row],[hp]]</f>
        <v/>
      </c>
      <c r="L22" s="10">
        <f>Table1[[#This Row],[mana]]</f>
        <v/>
      </c>
    </row>
    <row r="23">
      <c r="A23" s="7">
        <f>UPPER(SUBSTITUTE(B23, " ", "_"))</f>
        <v/>
      </c>
      <c r="B23" s="8" t="inlineStr">
        <is>
          <t>vampire</t>
        </is>
      </c>
      <c r="C23" s="8" t="inlineStr">
        <is>
          <t>A powerful magister of the undead.</t>
        </is>
      </c>
      <c r="D23" s="13" t="n">
        <v>70</v>
      </c>
      <c r="E23" s="13" t="n">
        <v>5</v>
      </c>
      <c r="F23" s="13" t="n">
        <v>22</v>
      </c>
      <c r="G23" s="13" t="n">
        <v>1</v>
      </c>
      <c r="H23" s="11" t="n">
        <v>7</v>
      </c>
      <c r="I23" s="13" t="n">
        <v>0</v>
      </c>
      <c r="J23" s="13" t="b">
        <v>1</v>
      </c>
      <c r="K23" s="13">
        <f>Table1[[#This Row],[hp]]</f>
        <v/>
      </c>
      <c r="L23" s="13">
        <f>Table1[[#This Row],[mana]]</f>
        <v/>
      </c>
    </row>
    <row r="24">
      <c r="A24" t="inlineStr">
        <is>
          <t>LOOT_GOBLIN</t>
        </is>
      </c>
      <c r="B24" t="inlineStr">
        <is>
          <t>loot goblin</t>
        </is>
      </c>
      <c r="C24" t="inlineStr">
        <is>
          <t>A goblin that scavenges for treasure.</t>
        </is>
      </c>
      <c r="D24" t="n">
        <v>40</v>
      </c>
      <c r="E24" t="n">
        <v>5</v>
      </c>
      <c r="F24" t="n">
        <v>8</v>
      </c>
      <c r="G24" t="n">
        <v>2</v>
      </c>
      <c r="H24" t="n">
        <v>7</v>
      </c>
      <c r="I24" t="n">
        <v>0.2</v>
      </c>
      <c r="J24" t="b">
        <v>1</v>
      </c>
      <c r="K24" t="n">
        <v>40</v>
      </c>
      <c r="L24" t="n">
        <v>5</v>
      </c>
    </row>
    <row r="25">
      <c r="A25" t="inlineStr">
        <is>
          <t>ORC_BOSS</t>
        </is>
      </c>
      <c r="B25" t="inlineStr">
        <is>
          <t>orc boss</t>
        </is>
      </c>
      <c r="C25" t="inlineStr">
        <is>
          <t>The chief of the orc warband.</t>
        </is>
      </c>
      <c r="D25" t="n">
        <v>200</v>
      </c>
      <c r="E25" t="n">
        <v>5</v>
      </c>
      <c r="F25" t="n">
        <v>18</v>
      </c>
      <c r="G25" t="n">
        <v>4</v>
      </c>
      <c r="H25" t="n">
        <v>7</v>
      </c>
      <c r="I25" t="n">
        <v>0.1</v>
      </c>
      <c r="J25" t="b">
        <v>1</v>
      </c>
      <c r="K25" t="n">
        <v>200</v>
      </c>
      <c r="L25" t="n">
        <v>5</v>
      </c>
    </row>
    <row r="26">
      <c r="A26" t="inlineStr">
        <is>
          <t>WOLF</t>
        </is>
      </c>
      <c r="B26" t="inlineStr">
        <is>
          <t>wolf</t>
        </is>
      </c>
      <c r="C26" t="inlineStr">
        <is>
          <t>A pack hunter with keen senses.</t>
        </is>
      </c>
      <c r="D26" t="n">
        <v>60</v>
      </c>
      <c r="E26" t="n">
        <v>5</v>
      </c>
      <c r="F26" t="n">
        <v>10</v>
      </c>
      <c r="G26" t="n">
        <v>2</v>
      </c>
      <c r="H26" t="n">
        <v>7</v>
      </c>
      <c r="I26" t="n">
        <v>0.6</v>
      </c>
      <c r="J26" t="b">
        <v>1</v>
      </c>
      <c r="K26" t="n">
        <v>60</v>
      </c>
      <c r="L26" t="n">
        <v>5</v>
      </c>
    </row>
    <row r="27">
      <c r="A27" t="inlineStr">
        <is>
          <t>BOAR</t>
        </is>
      </c>
      <c r="B27" t="inlineStr">
        <is>
          <t>boar</t>
        </is>
      </c>
      <c r="C27" t="inlineStr">
        <is>
          <t>A tusked beast that charges.</t>
        </is>
      </c>
      <c r="D27" t="n">
        <v>50</v>
      </c>
      <c r="E27" t="n">
        <v>5</v>
      </c>
      <c r="F27" t="n">
        <v>8</v>
      </c>
      <c r="G27" t="n">
        <v>3</v>
      </c>
      <c r="H27" t="n">
        <v>7</v>
      </c>
      <c r="I27" t="n">
        <v>0</v>
      </c>
      <c r="J27" t="b">
        <v>1</v>
      </c>
      <c r="K27" t="n">
        <v>50</v>
      </c>
      <c r="L27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zoomScaleNormal="100" workbookViewId="0">
      <selection activeCell="A2" sqref="A2:A33"/>
    </sheetView>
  </sheetViews>
  <sheetFormatPr baseColWidth="8" defaultRowHeight="15"/>
  <cols>
    <col width="22.42578125" bestFit="1" customWidth="1" style="1" min="1" max="1"/>
    <col width="18.42578125" bestFit="1" customWidth="1" style="1" min="2" max="2"/>
    <col width="9.7109375" bestFit="1" customWidth="1" style="1" min="3" max="3"/>
    <col width="6" bestFit="1" customWidth="1" style="1" min="4" max="4"/>
    <col width="10.85546875" bestFit="1" customWidth="1" style="1" min="5" max="5"/>
    <col width="6" bestFit="1" customWidth="1" style="1" min="6" max="6"/>
    <col width="6.7109375" bestFit="1" customWidth="1" style="1" min="7" max="7"/>
    <col width="6" bestFit="1" customWidth="1" style="1" min="8" max="8"/>
    <col width="9.5703125" bestFit="1" customWidth="1" style="1" min="9" max="9"/>
    <col width="7.5703125" bestFit="1" customWidth="1" style="1" min="10" max="10"/>
    <col width="10.7109375" bestFit="1" customWidth="1" style="1" min="11" max="11"/>
    <col width="11" bestFit="1" customWidth="1" style="1" min="12" max="12"/>
    <col width="7.7109375" bestFit="1" customWidth="1" style="1" min="13" max="13"/>
    <col width="6.28515625" bestFit="1" customWidth="1" style="1" min="14" max="14"/>
    <col width="6" bestFit="1" customWidth="1" style="1" min="15" max="15"/>
    <col width="8.28515625" bestFit="1" customWidth="1" style="1" min="16" max="16"/>
    <col width="6.140625" bestFit="1" customWidth="1" style="1" min="17" max="17"/>
    <col width="6" bestFit="1" customWidth="1" style="1" min="18" max="18"/>
    <col width="8.5703125" bestFit="1" customWidth="1" style="1" min="19" max="19"/>
    <col width="9.140625" customWidth="1" style="1" min="20" max="16384"/>
  </cols>
  <sheetData>
    <row r="1">
      <c r="A1" s="18" t="inlineStr">
        <is>
          <t>id</t>
        </is>
      </c>
      <c r="B1" s="19" t="inlineStr">
        <is>
          <t>name</t>
        </is>
      </c>
      <c r="C1" s="19" t="inlineStr">
        <is>
          <t>upperLeft</t>
        </is>
      </c>
      <c r="D1" s="19" t="inlineStr">
        <is>
          <t>top</t>
        </is>
      </c>
      <c r="E1" s="19" t="inlineStr">
        <is>
          <t>upperRight</t>
        </is>
      </c>
      <c r="F1" s="19" t="inlineStr">
        <is>
          <t>left</t>
        </is>
      </c>
      <c r="G1" s="19" t="inlineStr">
        <is>
          <t>center</t>
        </is>
      </c>
      <c r="H1" s="19" t="inlineStr">
        <is>
          <t>right</t>
        </is>
      </c>
      <c r="I1" s="19" t="inlineStr">
        <is>
          <t>lowerLeft</t>
        </is>
      </c>
      <c r="J1" s="19" t="inlineStr">
        <is>
          <t>bottom</t>
        </is>
      </c>
      <c r="K1" s="19" t="inlineStr">
        <is>
          <t>lowerRight</t>
        </is>
      </c>
      <c r="L1" s="19" t="inlineStr">
        <is>
          <t>endBottom</t>
        </is>
      </c>
      <c r="M1" s="19" t="inlineStr">
        <is>
          <t>endTop</t>
        </is>
      </c>
      <c r="N1" s="19" t="inlineStr">
        <is>
          <t>island</t>
        </is>
      </c>
      <c r="O1" s="19" t="inlineStr">
        <is>
          <t>leftT</t>
        </is>
      </c>
      <c r="P1" s="19" t="inlineStr">
        <is>
          <t>middleT</t>
        </is>
      </c>
      <c r="Q1" s="19" t="inlineStr">
        <is>
          <t>rightT</t>
        </is>
      </c>
      <c r="R1" s="19" t="inlineStr">
        <is>
          <t>topT</t>
        </is>
      </c>
      <c r="S1" s="20" t="inlineStr">
        <is>
          <t>bottomT</t>
        </is>
      </c>
    </row>
    <row r="2">
      <c r="A2" s="16">
        <f>UPPER(SUBSTITUTE(B2, " ", "_"))</f>
        <v/>
      </c>
      <c r="B2" s="15" t="inlineStr">
        <is>
          <t>light stone</t>
        </is>
      </c>
      <c r="C2" s="15" t="n">
        <v>7397</v>
      </c>
      <c r="D2" s="15" t="n">
        <v>7398</v>
      </c>
      <c r="E2" s="15" t="n">
        <v>7399</v>
      </c>
      <c r="F2" s="15" t="n">
        <v>7517</v>
      </c>
      <c r="G2" s="15" t="n">
        <v>7518</v>
      </c>
      <c r="H2" s="15" t="n">
        <v>7517</v>
      </c>
      <c r="I2" s="15" t="n">
        <v>7637</v>
      </c>
      <c r="J2" s="15" t="n">
        <v>7398</v>
      </c>
      <c r="K2" s="15" t="n">
        <v>7639</v>
      </c>
      <c r="L2" s="15" t="n">
        <v>7518</v>
      </c>
      <c r="M2" s="15" t="n">
        <v>7519</v>
      </c>
      <c r="N2" s="15" t="n">
        <v>7400</v>
      </c>
      <c r="O2" s="15" t="n">
        <v>7522</v>
      </c>
      <c r="P2" s="15" t="n">
        <v>7521</v>
      </c>
      <c r="Q2" s="15" t="n">
        <v>7520</v>
      </c>
      <c r="R2" s="15" t="n">
        <v>7401</v>
      </c>
      <c r="S2" s="15" t="n">
        <v>7641</v>
      </c>
    </row>
    <row r="3">
      <c r="A3" s="16">
        <f>UPPER(SUBSTITUTE(B3, " ", "_"))</f>
        <v/>
      </c>
      <c r="B3" s="15" t="inlineStr">
        <is>
          <t>stone</t>
        </is>
      </c>
      <c r="C3" s="15" t="n">
        <v>7757</v>
      </c>
      <c r="D3" s="15" t="n">
        <v>7758</v>
      </c>
      <c r="E3" s="15" t="n">
        <v>7759</v>
      </c>
      <c r="F3" s="15" t="n">
        <v>7877</v>
      </c>
      <c r="G3" s="15" t="n">
        <v>7878</v>
      </c>
      <c r="H3" s="15" t="n">
        <v>7877</v>
      </c>
      <c r="I3" s="15" t="n">
        <v>7997</v>
      </c>
      <c r="J3" s="15" t="n">
        <v>7758</v>
      </c>
      <c r="K3" s="15" t="n">
        <v>7999</v>
      </c>
      <c r="L3" s="15" t="n">
        <v>7878</v>
      </c>
      <c r="M3" s="15" t="n">
        <v>7879</v>
      </c>
      <c r="N3" s="15" t="n">
        <v>7760</v>
      </c>
      <c r="O3" s="15" t="n">
        <v>7882</v>
      </c>
      <c r="P3" s="15" t="n">
        <v>7881</v>
      </c>
      <c r="Q3" s="15" t="n">
        <v>7880</v>
      </c>
      <c r="R3" s="15" t="n">
        <v>7761</v>
      </c>
      <c r="S3" s="15" t="n">
        <v>8001</v>
      </c>
    </row>
    <row r="4">
      <c r="A4" s="16">
        <f>UPPER(SUBSTITUTE(B4, " ", "_"))</f>
        <v/>
      </c>
      <c r="B4" s="15" t="inlineStr">
        <is>
          <t>dark stone</t>
        </is>
      </c>
      <c r="C4" s="15" t="n">
        <v>8117</v>
      </c>
      <c r="D4" s="15" t="n">
        <v>8118</v>
      </c>
      <c r="E4" s="15" t="n">
        <v>8119</v>
      </c>
      <c r="F4" s="15" t="n">
        <v>8237</v>
      </c>
      <c r="G4" s="15" t="n">
        <v>8238</v>
      </c>
      <c r="H4" s="15" t="n">
        <v>8237</v>
      </c>
      <c r="I4" s="15" t="n">
        <v>8357</v>
      </c>
      <c r="J4" s="15" t="n">
        <v>8118</v>
      </c>
      <c r="K4" s="15" t="n">
        <v>8359</v>
      </c>
      <c r="L4" s="15" t="n">
        <v>8238</v>
      </c>
      <c r="M4" s="15" t="n">
        <v>8239</v>
      </c>
      <c r="N4" s="15" t="n">
        <v>8120</v>
      </c>
      <c r="O4" s="15" t="n">
        <v>8242</v>
      </c>
      <c r="P4" s="15" t="n">
        <v>8241</v>
      </c>
      <c r="Q4" s="15" t="n">
        <v>8240</v>
      </c>
      <c r="R4" s="15" t="n">
        <v>8121</v>
      </c>
      <c r="S4" s="17" t="n">
        <v>8361</v>
      </c>
    </row>
    <row r="5">
      <c r="A5" s="16">
        <f>UPPER(SUBSTITUTE(B5, " ", "_"))</f>
        <v/>
      </c>
      <c r="B5" s="15" t="inlineStr">
        <is>
          <t>darker stone</t>
        </is>
      </c>
      <c r="C5" s="15" t="n">
        <v>8477</v>
      </c>
      <c r="D5" s="15" t="n">
        <v>8478</v>
      </c>
      <c r="E5" s="15" t="n">
        <v>8479</v>
      </c>
      <c r="F5" s="15" t="n">
        <v>8597</v>
      </c>
      <c r="G5" s="15" t="n">
        <v>8598</v>
      </c>
      <c r="H5" s="15" t="n">
        <v>8597</v>
      </c>
      <c r="I5" s="15" t="n">
        <v>8717</v>
      </c>
      <c r="J5" s="15" t="n">
        <v>8478</v>
      </c>
      <c r="K5" s="15" t="n">
        <v>8719</v>
      </c>
      <c r="L5" s="15" t="n">
        <v>8598</v>
      </c>
      <c r="M5" s="15" t="n">
        <v>8599</v>
      </c>
      <c r="N5" s="15" t="n">
        <v>8480</v>
      </c>
      <c r="O5" s="15" t="n">
        <v>8602</v>
      </c>
      <c r="P5" s="15" t="n">
        <v>8601</v>
      </c>
      <c r="Q5" s="15" t="n">
        <v>8600</v>
      </c>
      <c r="R5" s="15" t="n">
        <v>8481</v>
      </c>
      <c r="S5" s="15" t="n">
        <v>8721</v>
      </c>
    </row>
    <row r="6">
      <c r="A6" s="16">
        <f>UPPER(SUBSTITUTE(B6, " ", "_"))</f>
        <v/>
      </c>
      <c r="B6" s="15" t="inlineStr">
        <is>
          <t>light dirt</t>
        </is>
      </c>
      <c r="C6" s="15" t="n">
        <v>8837</v>
      </c>
      <c r="D6" s="15" t="n">
        <v>8838</v>
      </c>
      <c r="E6" s="15" t="n">
        <v>8839</v>
      </c>
      <c r="F6" s="15" t="n">
        <v>8957</v>
      </c>
      <c r="G6" s="15" t="n">
        <v>8958</v>
      </c>
      <c r="H6" s="15" t="n">
        <v>8957</v>
      </c>
      <c r="I6" s="15" t="n">
        <v>9077</v>
      </c>
      <c r="J6" s="15" t="n">
        <v>8838</v>
      </c>
      <c r="K6" s="15" t="n">
        <v>9079</v>
      </c>
      <c r="L6" s="15" t="n">
        <v>8958</v>
      </c>
      <c r="M6" s="15" t="n">
        <v>8959</v>
      </c>
      <c r="N6" s="15" t="n">
        <v>8840</v>
      </c>
      <c r="O6" s="15" t="n">
        <v>8962</v>
      </c>
      <c r="P6" s="15" t="n">
        <v>8961</v>
      </c>
      <c r="Q6" s="15" t="n">
        <v>8960</v>
      </c>
      <c r="R6" s="15" t="n">
        <v>8841</v>
      </c>
      <c r="S6" s="15" t="n">
        <v>9081</v>
      </c>
    </row>
    <row r="7">
      <c r="A7" s="16">
        <f>UPPER(SUBSTITUTE(B7, " ", "_"))</f>
        <v/>
      </c>
      <c r="B7" s="15" t="inlineStr">
        <is>
          <t>dirt</t>
        </is>
      </c>
      <c r="C7" s="15" t="n">
        <v>9197</v>
      </c>
      <c r="D7" s="15" t="n">
        <v>9198</v>
      </c>
      <c r="E7" s="15" t="n">
        <v>9199</v>
      </c>
      <c r="F7" s="15" t="n">
        <v>9317</v>
      </c>
      <c r="G7" s="15" t="n">
        <v>9318</v>
      </c>
      <c r="H7" s="15" t="n">
        <v>9317</v>
      </c>
      <c r="I7" s="15" t="n">
        <v>9437</v>
      </c>
      <c r="J7" s="15" t="n">
        <v>9198</v>
      </c>
      <c r="K7" s="15" t="n">
        <v>9439</v>
      </c>
      <c r="L7" s="15" t="n">
        <v>9318</v>
      </c>
      <c r="M7" s="15" t="n">
        <v>9319</v>
      </c>
      <c r="N7" s="15" t="n">
        <v>9200</v>
      </c>
      <c r="O7" s="15" t="n">
        <v>9322</v>
      </c>
      <c r="P7" s="15" t="n">
        <v>9321</v>
      </c>
      <c r="Q7" s="15" t="n">
        <v>9320</v>
      </c>
      <c r="R7" s="15" t="n">
        <v>9201</v>
      </c>
      <c r="S7" s="15" t="n">
        <v>9441</v>
      </c>
    </row>
    <row r="8">
      <c r="A8" s="16">
        <f>UPPER(SUBSTITUTE(B8, " ", "_"))</f>
        <v/>
      </c>
      <c r="B8" s="15" t="inlineStr">
        <is>
          <t>dark dirt</t>
        </is>
      </c>
      <c r="C8" s="15" t="n">
        <v>9557</v>
      </c>
      <c r="D8" s="15" t="n">
        <v>9558</v>
      </c>
      <c r="E8" s="15" t="n">
        <v>9559</v>
      </c>
      <c r="F8" s="15" t="n">
        <v>9677</v>
      </c>
      <c r="G8" s="15" t="n">
        <v>9678</v>
      </c>
      <c r="H8" s="15" t="n">
        <v>9677</v>
      </c>
      <c r="I8" s="15" t="n">
        <v>9797</v>
      </c>
      <c r="J8" s="15" t="n">
        <v>9558</v>
      </c>
      <c r="K8" s="15" t="n">
        <v>9799</v>
      </c>
      <c r="L8" s="15" t="n">
        <v>9678</v>
      </c>
      <c r="M8" s="15" t="n">
        <v>9679</v>
      </c>
      <c r="N8" s="15" t="n">
        <v>9560</v>
      </c>
      <c r="O8" s="15" t="n">
        <v>9682</v>
      </c>
      <c r="P8" s="15" t="n">
        <v>9681</v>
      </c>
      <c r="Q8" s="15" t="n">
        <v>9680</v>
      </c>
      <c r="R8" s="15" t="n">
        <v>9561</v>
      </c>
      <c r="S8" s="15" t="n">
        <v>9801</v>
      </c>
    </row>
    <row r="9">
      <c r="A9" s="16">
        <f>UPPER(SUBSTITUTE(B9, " ", "_"))</f>
        <v/>
      </c>
      <c r="B9" s="15" t="inlineStr">
        <is>
          <t>darker dirt</t>
        </is>
      </c>
      <c r="C9" s="15" t="n">
        <v>9917</v>
      </c>
      <c r="D9" s="15" t="n">
        <v>9918</v>
      </c>
      <c r="E9" s="15" t="n">
        <v>9919</v>
      </c>
      <c r="F9" s="15" t="n">
        <v>10037</v>
      </c>
      <c r="G9" s="15" t="n">
        <v>10038</v>
      </c>
      <c r="H9" s="15" t="n">
        <v>10037</v>
      </c>
      <c r="I9" s="15" t="n">
        <v>10157</v>
      </c>
      <c r="J9" s="15" t="n">
        <v>9918</v>
      </c>
      <c r="K9" s="15" t="n">
        <v>10159</v>
      </c>
      <c r="L9" s="15" t="n">
        <v>10038</v>
      </c>
      <c r="M9" s="15" t="n">
        <v>10039</v>
      </c>
      <c r="N9" s="15" t="n">
        <v>9920</v>
      </c>
      <c r="O9" s="15" t="n">
        <v>10042</v>
      </c>
      <c r="P9" s="15" t="n">
        <v>10041</v>
      </c>
      <c r="Q9" s="15" t="n">
        <v>10040</v>
      </c>
      <c r="R9" s="15" t="n">
        <v>9921</v>
      </c>
      <c r="S9" s="15" t="n">
        <v>10161</v>
      </c>
    </row>
    <row r="10">
      <c r="A10" s="16">
        <f>UPPER(SUBSTITUTE(B10, " ", "_"))</f>
        <v/>
      </c>
      <c r="B10" s="15" t="inlineStr">
        <is>
          <t>light wood</t>
        </is>
      </c>
      <c r="C10" s="15" t="n">
        <v>7404</v>
      </c>
      <c r="D10" s="15" t="n">
        <v>7405</v>
      </c>
      <c r="E10" s="15" t="n">
        <v>7406</v>
      </c>
      <c r="F10" s="15" t="n">
        <v>7524</v>
      </c>
      <c r="G10" s="15" t="n">
        <v>7525</v>
      </c>
      <c r="H10" s="15" t="n">
        <v>7524</v>
      </c>
      <c r="I10" s="15" t="n">
        <v>7644</v>
      </c>
      <c r="J10" s="15" t="n">
        <v>7405</v>
      </c>
      <c r="K10" s="15" t="n">
        <v>7646</v>
      </c>
      <c r="L10" s="15" t="n">
        <v>7525</v>
      </c>
      <c r="M10" s="15" t="n">
        <v>7526</v>
      </c>
      <c r="N10" s="15" t="n">
        <v>7407</v>
      </c>
      <c r="O10" s="15" t="n">
        <v>7529</v>
      </c>
      <c r="P10" s="15" t="n">
        <v>7528</v>
      </c>
      <c r="Q10" s="15" t="n">
        <v>7527</v>
      </c>
      <c r="R10" s="15" t="n">
        <v>7408</v>
      </c>
      <c r="S10" s="15" t="n">
        <v>7648</v>
      </c>
    </row>
    <row r="11">
      <c r="A11" s="16">
        <f>UPPER(SUBSTITUTE(B11, " ", "_"))</f>
        <v/>
      </c>
      <c r="B11" s="15" t="inlineStr">
        <is>
          <t>wood</t>
        </is>
      </c>
      <c r="C11" s="15" t="n">
        <v>7764</v>
      </c>
      <c r="D11" s="15" t="n">
        <v>7765</v>
      </c>
      <c r="E11" s="15" t="n">
        <v>7766</v>
      </c>
      <c r="F11" s="15" t="n">
        <v>7884</v>
      </c>
      <c r="G11" s="15" t="n">
        <v>7885</v>
      </c>
      <c r="H11" s="15" t="n">
        <v>7884</v>
      </c>
      <c r="I11" s="15" t="n">
        <v>8004</v>
      </c>
      <c r="J11" s="15" t="n">
        <v>7765</v>
      </c>
      <c r="K11" s="15" t="n">
        <v>8006</v>
      </c>
      <c r="L11" s="15" t="n">
        <v>7885</v>
      </c>
      <c r="M11" s="15" t="n">
        <v>7886</v>
      </c>
      <c r="N11" s="15" t="n">
        <v>7767</v>
      </c>
      <c r="O11" s="15" t="n">
        <v>7889</v>
      </c>
      <c r="P11" s="15" t="n">
        <v>7888</v>
      </c>
      <c r="Q11" s="15" t="n">
        <v>7887</v>
      </c>
      <c r="R11" s="15" t="n">
        <v>7768</v>
      </c>
      <c r="S11" s="15" t="n">
        <v>8008</v>
      </c>
    </row>
    <row r="12">
      <c r="A12" s="16">
        <f>UPPER(SUBSTITUTE(B12, " ", "_"))</f>
        <v/>
      </c>
      <c r="B12" s="15" t="inlineStr">
        <is>
          <t>dark wood</t>
        </is>
      </c>
      <c r="C12" s="15" t="n">
        <v>8124</v>
      </c>
      <c r="D12" s="15" t="n">
        <v>8125</v>
      </c>
      <c r="E12" s="15" t="n">
        <v>8126</v>
      </c>
      <c r="F12" s="15" t="n">
        <v>8244</v>
      </c>
      <c r="G12" s="15" t="n">
        <v>8245</v>
      </c>
      <c r="H12" s="15" t="n">
        <v>8244</v>
      </c>
      <c r="I12" s="15" t="n">
        <v>8364</v>
      </c>
      <c r="J12" s="15" t="n">
        <v>8125</v>
      </c>
      <c r="K12" s="15" t="n">
        <v>8366</v>
      </c>
      <c r="L12" s="15" t="n">
        <v>8245</v>
      </c>
      <c r="M12" s="15" t="n">
        <v>8246</v>
      </c>
      <c r="N12" s="15" t="n">
        <v>8127</v>
      </c>
      <c r="O12" s="15" t="n">
        <v>8249</v>
      </c>
      <c r="P12" s="15" t="n">
        <v>8248</v>
      </c>
      <c r="Q12" s="15" t="n">
        <v>8247</v>
      </c>
      <c r="R12" s="15" t="n">
        <v>8128</v>
      </c>
      <c r="S12" s="15" t="n">
        <v>8368</v>
      </c>
    </row>
    <row r="13">
      <c r="A13" s="16">
        <f>UPPER(SUBSTITUTE(B13, " ", "_"))</f>
        <v/>
      </c>
      <c r="B13" s="15" t="inlineStr">
        <is>
          <t>darker wood</t>
        </is>
      </c>
      <c r="C13" s="15" t="n">
        <v>8484</v>
      </c>
      <c r="D13" s="15" t="n">
        <v>8485</v>
      </c>
      <c r="E13" s="15" t="n">
        <v>8486</v>
      </c>
      <c r="F13" s="15" t="n">
        <v>8604</v>
      </c>
      <c r="G13" s="15" t="n">
        <v>8605</v>
      </c>
      <c r="H13" s="15" t="n">
        <v>8604</v>
      </c>
      <c r="I13" s="15" t="n">
        <v>8724</v>
      </c>
      <c r="J13" s="15" t="n">
        <v>8485</v>
      </c>
      <c r="K13" s="15" t="n">
        <v>8726</v>
      </c>
      <c r="L13" s="15" t="n">
        <v>8605</v>
      </c>
      <c r="M13" s="15" t="n">
        <v>8606</v>
      </c>
      <c r="N13" s="15" t="n">
        <v>8487</v>
      </c>
      <c r="O13" s="15" t="n">
        <v>8609</v>
      </c>
      <c r="P13" s="15" t="n">
        <v>8608</v>
      </c>
      <c r="Q13" s="15" t="n">
        <v>8607</v>
      </c>
      <c r="R13" s="15" t="n">
        <v>8488</v>
      </c>
      <c r="S13" s="15" t="n">
        <v>8728</v>
      </c>
    </row>
    <row r="14">
      <c r="A14" s="16">
        <f>UPPER(SUBSTITUTE(B14, " ", "_"))</f>
        <v/>
      </c>
      <c r="B14" s="15" t="inlineStr">
        <is>
          <t>light cold dirt</t>
        </is>
      </c>
      <c r="C14" s="15" t="n">
        <v>8844</v>
      </c>
      <c r="D14" s="15" t="n">
        <v>8845</v>
      </c>
      <c r="E14" s="15" t="n">
        <v>8846</v>
      </c>
      <c r="F14" s="15" t="n">
        <v>8964</v>
      </c>
      <c r="G14" s="15" t="n">
        <v>8965</v>
      </c>
      <c r="H14" s="15" t="n">
        <v>8964</v>
      </c>
      <c r="I14" s="15" t="n">
        <v>9084</v>
      </c>
      <c r="J14" s="15" t="n">
        <v>8845</v>
      </c>
      <c r="K14" s="15" t="n">
        <v>9086</v>
      </c>
      <c r="L14" s="15" t="n">
        <v>8965</v>
      </c>
      <c r="M14" s="15" t="n">
        <v>8966</v>
      </c>
      <c r="N14" s="15" t="n">
        <v>8847</v>
      </c>
      <c r="O14" s="15" t="n">
        <v>8969</v>
      </c>
      <c r="P14" s="15" t="n">
        <v>8968</v>
      </c>
      <c r="Q14" s="15" t="n">
        <v>8967</v>
      </c>
      <c r="R14" s="15" t="n">
        <v>8848</v>
      </c>
      <c r="S14" s="15" t="n">
        <v>9088</v>
      </c>
    </row>
    <row r="15">
      <c r="A15" s="16">
        <f>UPPER(SUBSTITUTE(B15, " ", "_"))</f>
        <v/>
      </c>
      <c r="B15" s="15" t="inlineStr">
        <is>
          <t>cold dirt</t>
        </is>
      </c>
      <c r="C15" s="15" t="n">
        <v>9204</v>
      </c>
      <c r="D15" s="15" t="n">
        <v>9205</v>
      </c>
      <c r="E15" s="15" t="n">
        <v>9206</v>
      </c>
      <c r="F15" s="15" t="n">
        <v>9324</v>
      </c>
      <c r="G15" s="15" t="n">
        <v>9325</v>
      </c>
      <c r="H15" s="15" t="n">
        <v>9324</v>
      </c>
      <c r="I15" s="15" t="n">
        <v>9444</v>
      </c>
      <c r="J15" s="15" t="n">
        <v>9205</v>
      </c>
      <c r="K15" s="15" t="n">
        <v>9446</v>
      </c>
      <c r="L15" s="15" t="n">
        <v>9325</v>
      </c>
      <c r="M15" s="15" t="n">
        <v>9326</v>
      </c>
      <c r="N15" s="15" t="n">
        <v>9207</v>
      </c>
      <c r="O15" s="15" t="n">
        <v>9329</v>
      </c>
      <c r="P15" s="15" t="n">
        <v>9328</v>
      </c>
      <c r="Q15" s="15" t="n">
        <v>9327</v>
      </c>
      <c r="R15" s="15" t="n">
        <v>9208</v>
      </c>
      <c r="S15" s="15" t="n">
        <v>9448</v>
      </c>
    </row>
    <row r="16">
      <c r="A16" s="16">
        <f>UPPER(SUBSTITUTE(B16, " ", "_"))</f>
        <v/>
      </c>
      <c r="B16" s="15" t="inlineStr">
        <is>
          <t>dark cold dirt</t>
        </is>
      </c>
      <c r="C16" s="15" t="n">
        <v>9564</v>
      </c>
      <c r="D16" s="15" t="n">
        <v>9565</v>
      </c>
      <c r="E16" s="15" t="n">
        <v>9566</v>
      </c>
      <c r="F16" s="15" t="n">
        <v>9684</v>
      </c>
      <c r="G16" s="15" t="n">
        <v>9685</v>
      </c>
      <c r="H16" s="15" t="n">
        <v>9684</v>
      </c>
      <c r="I16" s="15" t="n">
        <v>9804</v>
      </c>
      <c r="J16" s="15" t="n">
        <v>9565</v>
      </c>
      <c r="K16" s="15" t="n">
        <v>9806</v>
      </c>
      <c r="L16" s="15" t="n">
        <v>9685</v>
      </c>
      <c r="M16" s="15" t="n">
        <v>9686</v>
      </c>
      <c r="N16" s="15" t="n">
        <v>9567</v>
      </c>
      <c r="O16" s="15" t="n">
        <v>9689</v>
      </c>
      <c r="P16" s="15" t="n">
        <v>9688</v>
      </c>
      <c r="Q16" s="15" t="n">
        <v>9687</v>
      </c>
      <c r="R16" s="15" t="n">
        <v>9568</v>
      </c>
      <c r="S16" s="15" t="n">
        <v>9808</v>
      </c>
    </row>
    <row r="17">
      <c r="A17" s="16">
        <f>UPPER(SUBSTITUTE(B17, " ", "_"))</f>
        <v/>
      </c>
      <c r="B17" s="15" t="inlineStr">
        <is>
          <t>darker cold dirt</t>
        </is>
      </c>
      <c r="C17" s="15" t="n">
        <v>9924</v>
      </c>
      <c r="D17" s="15" t="n">
        <v>9925</v>
      </c>
      <c r="E17" s="15" t="n">
        <v>9926</v>
      </c>
      <c r="F17" s="15" t="n">
        <v>10044</v>
      </c>
      <c r="G17" s="15" t="n">
        <v>10045</v>
      </c>
      <c r="H17" s="15" t="n">
        <v>10044</v>
      </c>
      <c r="I17" s="15" t="n">
        <v>10164</v>
      </c>
      <c r="J17" s="15" t="n">
        <v>9925</v>
      </c>
      <c r="K17" s="15" t="n">
        <v>10166</v>
      </c>
      <c r="L17" s="15" t="n">
        <v>10045</v>
      </c>
      <c r="M17" s="15" t="n">
        <v>10046</v>
      </c>
      <c r="N17" s="15" t="n">
        <v>9927</v>
      </c>
      <c r="O17" s="15" t="n">
        <v>10049</v>
      </c>
      <c r="P17" s="15" t="n">
        <v>10048</v>
      </c>
      <c r="Q17" s="15" t="n">
        <v>10047</v>
      </c>
      <c r="R17" s="15" t="n">
        <v>9928</v>
      </c>
      <c r="S17" s="15" t="n">
        <v>10168</v>
      </c>
    </row>
    <row r="18">
      <c r="A18" s="16">
        <f>UPPER(SUBSTITUTE(B18, " ", "_"))</f>
        <v/>
      </c>
      <c r="B18" s="15" t="inlineStr">
        <is>
          <t>light mine</t>
        </is>
      </c>
      <c r="C18" s="15" t="n">
        <v>7411</v>
      </c>
      <c r="D18" s="15" t="n">
        <v>7412</v>
      </c>
      <c r="E18" s="15" t="n">
        <v>7413</v>
      </c>
      <c r="F18" s="15" t="n">
        <v>7531</v>
      </c>
      <c r="G18" s="15" t="n">
        <v>7532</v>
      </c>
      <c r="H18" s="15" t="n">
        <v>7531</v>
      </c>
      <c r="I18" s="15" t="n">
        <v>7651</v>
      </c>
      <c r="J18" s="15" t="n">
        <v>7412</v>
      </c>
      <c r="K18" s="15" t="n">
        <v>7653</v>
      </c>
      <c r="L18" s="15" t="n">
        <v>7532</v>
      </c>
      <c r="M18" s="15" t="n">
        <v>7533</v>
      </c>
      <c r="N18" s="15" t="n">
        <v>7414</v>
      </c>
      <c r="O18" s="15" t="n">
        <v>7536</v>
      </c>
      <c r="P18" s="15" t="n">
        <v>7535</v>
      </c>
      <c r="Q18" s="15" t="n">
        <v>7534</v>
      </c>
      <c r="R18" s="15" t="n">
        <v>7415</v>
      </c>
      <c r="S18" s="15" t="n">
        <v>7655</v>
      </c>
    </row>
    <row r="19">
      <c r="A19" s="16">
        <f>UPPER(SUBSTITUTE(B19, " ", "_"))</f>
        <v/>
      </c>
      <c r="B19" s="15" t="inlineStr">
        <is>
          <t>mine</t>
        </is>
      </c>
      <c r="C19" s="15" t="n">
        <v>7771</v>
      </c>
      <c r="D19" s="15" t="n">
        <v>7772</v>
      </c>
      <c r="E19" s="15" t="n">
        <v>7773</v>
      </c>
      <c r="F19" s="15" t="n">
        <v>7891</v>
      </c>
      <c r="G19" s="15" t="n">
        <v>7892</v>
      </c>
      <c r="H19" s="15" t="n">
        <v>7891</v>
      </c>
      <c r="I19" s="15" t="n">
        <v>8011</v>
      </c>
      <c r="J19" s="15" t="n">
        <v>7772</v>
      </c>
      <c r="K19" s="15" t="n">
        <v>8013</v>
      </c>
      <c r="L19" s="15" t="n">
        <v>7892</v>
      </c>
      <c r="M19" s="15" t="n">
        <v>7893</v>
      </c>
      <c r="N19" s="15" t="n">
        <v>7774</v>
      </c>
      <c r="O19" s="15" t="n">
        <v>7896</v>
      </c>
      <c r="P19" s="15" t="n">
        <v>7895</v>
      </c>
      <c r="Q19" s="15" t="n">
        <v>7894</v>
      </c>
      <c r="R19" s="15" t="n">
        <v>7775</v>
      </c>
      <c r="S19" s="15" t="n">
        <v>8015</v>
      </c>
    </row>
    <row r="20">
      <c r="A20" s="16">
        <f>UPPER(SUBSTITUTE(B20, " ", "_"))</f>
        <v/>
      </c>
      <c r="B20" s="15" t="inlineStr">
        <is>
          <t>dark mine</t>
        </is>
      </c>
      <c r="C20" s="15" t="n">
        <v>8131</v>
      </c>
      <c r="D20" s="15" t="n">
        <v>8132</v>
      </c>
      <c r="E20" s="15" t="n">
        <v>8133</v>
      </c>
      <c r="F20" s="15" t="n">
        <v>8251</v>
      </c>
      <c r="G20" s="15" t="n">
        <v>8252</v>
      </c>
      <c r="H20" s="15" t="n">
        <v>8251</v>
      </c>
      <c r="I20" s="15" t="n">
        <v>8371</v>
      </c>
      <c r="J20" s="15" t="n">
        <v>8132</v>
      </c>
      <c r="K20" s="15" t="n">
        <v>8373</v>
      </c>
      <c r="L20" s="15" t="n">
        <v>8252</v>
      </c>
      <c r="M20" s="15" t="n">
        <v>8253</v>
      </c>
      <c r="N20" s="15" t="n">
        <v>8134</v>
      </c>
      <c r="O20" s="15" t="n">
        <v>8256</v>
      </c>
      <c r="P20" s="15" t="n">
        <v>8255</v>
      </c>
      <c r="Q20" s="15" t="n">
        <v>8254</v>
      </c>
      <c r="R20" s="15" t="n">
        <v>8135</v>
      </c>
      <c r="S20" s="15" t="n">
        <v>8375</v>
      </c>
    </row>
    <row r="21">
      <c r="A21" s="16">
        <f>UPPER(SUBSTITUTE(B21, " ", "_"))</f>
        <v/>
      </c>
      <c r="B21" s="15" t="inlineStr">
        <is>
          <t>darker mine</t>
        </is>
      </c>
      <c r="C21" s="15" t="n">
        <v>8491</v>
      </c>
      <c r="D21" s="15" t="n">
        <v>8492</v>
      </c>
      <c r="E21" s="15" t="n">
        <v>8493</v>
      </c>
      <c r="F21" s="15" t="n">
        <v>8611</v>
      </c>
      <c r="G21" s="15" t="n">
        <v>8612</v>
      </c>
      <c r="H21" s="15" t="n">
        <v>8611</v>
      </c>
      <c r="I21" s="15" t="n">
        <v>8731</v>
      </c>
      <c r="J21" s="15" t="n">
        <v>8492</v>
      </c>
      <c r="K21" s="15" t="n">
        <v>8733</v>
      </c>
      <c r="L21" s="15" t="n">
        <v>8612</v>
      </c>
      <c r="M21" s="15" t="n">
        <v>8613</v>
      </c>
      <c r="N21" s="15" t="n">
        <v>8494</v>
      </c>
      <c r="O21" s="15" t="n">
        <v>8616</v>
      </c>
      <c r="P21" s="15" t="n">
        <v>8615</v>
      </c>
      <c r="Q21" s="15" t="n">
        <v>8614</v>
      </c>
      <c r="R21" s="15" t="n">
        <v>8495</v>
      </c>
      <c r="S21" s="15" t="n">
        <v>8735</v>
      </c>
    </row>
    <row r="22">
      <c r="A22" s="16">
        <f>UPPER(SUBSTITUTE(B22, " ", "_"))</f>
        <v/>
      </c>
      <c r="B22" s="15" t="inlineStr">
        <is>
          <t>light hot dirt</t>
        </is>
      </c>
      <c r="C22" s="15" t="n">
        <v>8851</v>
      </c>
      <c r="D22" s="15" t="n">
        <v>8852</v>
      </c>
      <c r="E22" s="15" t="n">
        <v>8853</v>
      </c>
      <c r="F22" s="15" t="n">
        <v>8971</v>
      </c>
      <c r="G22" s="15" t="n">
        <v>8972</v>
      </c>
      <c r="H22" s="15" t="n">
        <v>8971</v>
      </c>
      <c r="I22" s="15" t="n">
        <v>9091</v>
      </c>
      <c r="J22" s="15" t="n">
        <v>8852</v>
      </c>
      <c r="K22" s="15" t="n">
        <v>9093</v>
      </c>
      <c r="L22" s="15" t="n">
        <v>8972</v>
      </c>
      <c r="M22" s="15" t="n">
        <v>8973</v>
      </c>
      <c r="N22" s="15" t="n">
        <v>8854</v>
      </c>
      <c r="O22" s="15" t="n">
        <v>8976</v>
      </c>
      <c r="P22" s="15" t="n">
        <v>8975</v>
      </c>
      <c r="Q22" s="15" t="n">
        <v>8974</v>
      </c>
      <c r="R22" s="15" t="n">
        <v>8855</v>
      </c>
      <c r="S22" s="15" t="n">
        <v>9095</v>
      </c>
    </row>
    <row r="23">
      <c r="A23" s="16">
        <f>UPPER(SUBSTITUTE(B23, " ", "_"))</f>
        <v/>
      </c>
      <c r="B23" s="15" t="inlineStr">
        <is>
          <t>hot dirt</t>
        </is>
      </c>
      <c r="C23" s="15" t="n">
        <v>9211</v>
      </c>
      <c r="D23" s="15" t="n">
        <v>9212</v>
      </c>
      <c r="E23" s="15" t="n">
        <v>9213</v>
      </c>
      <c r="F23" s="15" t="n">
        <v>9331</v>
      </c>
      <c r="G23" s="15" t="n">
        <v>9332</v>
      </c>
      <c r="H23" s="15" t="n">
        <v>9331</v>
      </c>
      <c r="I23" s="15" t="n">
        <v>9451</v>
      </c>
      <c r="J23" s="15" t="n">
        <v>9212</v>
      </c>
      <c r="K23" s="15" t="n">
        <v>9453</v>
      </c>
      <c r="L23" s="15" t="n">
        <v>9332</v>
      </c>
      <c r="M23" s="15" t="n">
        <v>9333</v>
      </c>
      <c r="N23" s="15" t="n">
        <v>9214</v>
      </c>
      <c r="O23" s="15" t="n">
        <v>9336</v>
      </c>
      <c r="P23" s="15" t="n">
        <v>9335</v>
      </c>
      <c r="Q23" s="15" t="n">
        <v>9334</v>
      </c>
      <c r="R23" s="15" t="n">
        <v>9215</v>
      </c>
      <c r="S23" s="15" t="n">
        <v>9455</v>
      </c>
    </row>
    <row r="24">
      <c r="A24" s="16">
        <f>UPPER(SUBSTITUTE(B24, " ", "_"))</f>
        <v/>
      </c>
      <c r="B24" s="15" t="inlineStr">
        <is>
          <t>dark hot dirt</t>
        </is>
      </c>
      <c r="C24" s="15" t="n">
        <v>9571</v>
      </c>
      <c r="D24" s="15" t="n">
        <v>9572</v>
      </c>
      <c r="E24" s="15" t="n">
        <v>9573</v>
      </c>
      <c r="F24" s="15" t="n">
        <v>9691</v>
      </c>
      <c r="G24" s="15" t="n">
        <v>9692</v>
      </c>
      <c r="H24" s="15" t="n">
        <v>9691</v>
      </c>
      <c r="I24" s="15" t="n">
        <v>9811</v>
      </c>
      <c r="J24" s="15" t="n">
        <v>9572</v>
      </c>
      <c r="K24" s="15" t="n">
        <v>9813</v>
      </c>
      <c r="L24" s="15" t="n">
        <v>9692</v>
      </c>
      <c r="M24" s="15" t="n">
        <v>9693</v>
      </c>
      <c r="N24" s="15" t="n">
        <v>9574</v>
      </c>
      <c r="O24" s="15" t="n">
        <v>9696</v>
      </c>
      <c r="P24" s="15" t="n">
        <v>9695</v>
      </c>
      <c r="Q24" s="15" t="n">
        <v>9694</v>
      </c>
      <c r="R24" s="15" t="n">
        <v>9575</v>
      </c>
      <c r="S24" s="15" t="n">
        <v>9815</v>
      </c>
    </row>
    <row r="25">
      <c r="A25" s="21">
        <f>UPPER(SUBSTITUTE(B25, " ", "_"))</f>
        <v/>
      </c>
      <c r="B25" s="22" t="inlineStr">
        <is>
          <t>darker hot dirt</t>
        </is>
      </c>
      <c r="C25" s="15" t="n">
        <v>9931</v>
      </c>
      <c r="D25" s="15" t="n">
        <v>9932</v>
      </c>
      <c r="E25" s="15" t="n">
        <v>9933</v>
      </c>
      <c r="F25" s="15" t="n">
        <v>10051</v>
      </c>
      <c r="G25" s="15" t="n">
        <v>10052</v>
      </c>
      <c r="H25" s="15" t="n">
        <v>10051</v>
      </c>
      <c r="I25" s="15" t="n">
        <v>10171</v>
      </c>
      <c r="J25" s="15" t="n">
        <v>9932</v>
      </c>
      <c r="K25" s="15" t="n">
        <v>10173</v>
      </c>
      <c r="L25" s="15" t="n">
        <v>10052</v>
      </c>
      <c r="M25" s="15" t="n">
        <v>10053</v>
      </c>
      <c r="N25" s="15" t="n">
        <v>9934</v>
      </c>
      <c r="O25" s="15" t="n">
        <v>10056</v>
      </c>
      <c r="P25" s="15" t="n">
        <v>10055</v>
      </c>
      <c r="Q25" s="15" t="n">
        <v>10054</v>
      </c>
      <c r="R25" s="15" t="n">
        <v>9935</v>
      </c>
      <c r="S25" s="15" t="n">
        <v>10175</v>
      </c>
    </row>
    <row r="26">
      <c r="A26" s="16">
        <f>UPPER(SUBSTITUTE(B26, " ", "_"))</f>
        <v/>
      </c>
      <c r="B26" s="15" t="inlineStr">
        <is>
          <t>light cold wood</t>
        </is>
      </c>
      <c r="C26" s="15" t="n">
        <v>10303</v>
      </c>
      <c r="D26" s="15" t="n">
        <v>10304</v>
      </c>
      <c r="E26" s="15" t="n">
        <v>10305</v>
      </c>
      <c r="F26" s="15" t="n">
        <v>10423</v>
      </c>
      <c r="G26" s="15" t="n">
        <v>10424</v>
      </c>
      <c r="H26" s="15" t="n">
        <v>10423</v>
      </c>
      <c r="I26" s="15" t="n">
        <v>10543</v>
      </c>
      <c r="J26" s="15" t="n">
        <v>10304</v>
      </c>
      <c r="K26" s="15" t="n">
        <v>10545</v>
      </c>
      <c r="L26" s="15" t="n">
        <v>10424</v>
      </c>
      <c r="M26" s="15" t="n">
        <v>10425</v>
      </c>
      <c r="N26" s="15" t="n">
        <v>10306</v>
      </c>
      <c r="O26" s="15" t="n">
        <v>10428</v>
      </c>
      <c r="P26" s="15" t="n">
        <v>10427</v>
      </c>
      <c r="Q26" s="15" t="n">
        <v>10426</v>
      </c>
      <c r="R26" s="15" t="n">
        <v>10307</v>
      </c>
      <c r="S26" s="15" t="n">
        <v>10547</v>
      </c>
    </row>
    <row r="27">
      <c r="A27" s="16">
        <f>UPPER(SUBSTITUTE(B27, " ", "_"))</f>
        <v/>
      </c>
      <c r="B27" s="15" t="inlineStr">
        <is>
          <t>cold wood</t>
        </is>
      </c>
      <c r="C27" s="15" t="n">
        <v>10663</v>
      </c>
      <c r="D27" s="15" t="n">
        <v>10664</v>
      </c>
      <c r="E27" s="15" t="n">
        <v>10665</v>
      </c>
      <c r="F27" s="15" t="n">
        <v>10783</v>
      </c>
      <c r="G27" s="15" t="n">
        <v>10784</v>
      </c>
      <c r="H27" s="15" t="n">
        <v>10783</v>
      </c>
      <c r="I27" s="15" t="n">
        <v>10903</v>
      </c>
      <c r="J27" s="15" t="n">
        <v>10664</v>
      </c>
      <c r="K27" s="15" t="n">
        <v>10905</v>
      </c>
      <c r="L27" s="15" t="n">
        <v>10784</v>
      </c>
      <c r="M27" s="15" t="n">
        <v>10785</v>
      </c>
      <c r="N27" s="15" t="n">
        <v>10666</v>
      </c>
      <c r="O27" s="15" t="n">
        <v>10788</v>
      </c>
      <c r="P27" s="15" t="n">
        <v>10787</v>
      </c>
      <c r="Q27" s="15" t="n">
        <v>10786</v>
      </c>
      <c r="R27" s="15" t="n">
        <v>10667</v>
      </c>
      <c r="S27" s="15" t="n">
        <v>10907</v>
      </c>
    </row>
    <row r="28">
      <c r="A28" s="16">
        <f>UPPER(SUBSTITUTE(B28, " ", "_"))</f>
        <v/>
      </c>
      <c r="B28" s="15" t="inlineStr">
        <is>
          <t>dark cold wood</t>
        </is>
      </c>
      <c r="C28" s="15" t="n">
        <v>11023</v>
      </c>
      <c r="D28" s="15" t="n">
        <v>11024</v>
      </c>
      <c r="E28" s="15" t="n">
        <v>11025</v>
      </c>
      <c r="F28" s="15" t="n">
        <v>11143</v>
      </c>
      <c r="G28" s="15" t="n">
        <v>11144</v>
      </c>
      <c r="H28" s="15" t="n">
        <v>11143</v>
      </c>
      <c r="I28" s="15" t="n">
        <v>11263</v>
      </c>
      <c r="J28" s="15" t="n">
        <v>11024</v>
      </c>
      <c r="K28" s="15" t="n">
        <v>11265</v>
      </c>
      <c r="L28" s="15" t="n">
        <v>11144</v>
      </c>
      <c r="M28" s="15" t="n">
        <v>11145</v>
      </c>
      <c r="N28" s="15" t="n">
        <v>11026</v>
      </c>
      <c r="O28" s="15" t="n">
        <v>11148</v>
      </c>
      <c r="P28" s="15" t="n">
        <v>11147</v>
      </c>
      <c r="Q28" s="15" t="n">
        <v>11146</v>
      </c>
      <c r="R28" s="15" t="n">
        <v>11027</v>
      </c>
      <c r="S28" s="15" t="n">
        <v>11267</v>
      </c>
    </row>
    <row r="29">
      <c r="A29" s="16">
        <f>UPPER(SUBSTITUTE(B29, " ", "_"))</f>
        <v/>
      </c>
      <c r="B29" s="15" t="inlineStr">
        <is>
          <t>darker cold wood</t>
        </is>
      </c>
      <c r="C29" s="15" t="n">
        <v>11383</v>
      </c>
      <c r="D29" s="15" t="n">
        <v>11384</v>
      </c>
      <c r="E29" s="15" t="n">
        <v>11385</v>
      </c>
      <c r="F29" s="15" t="n">
        <v>11503</v>
      </c>
      <c r="G29" s="15" t="n">
        <v>11504</v>
      </c>
      <c r="H29" s="15" t="n">
        <v>11503</v>
      </c>
      <c r="I29" s="15" t="n">
        <v>11623</v>
      </c>
      <c r="J29" s="15" t="n">
        <v>11384</v>
      </c>
      <c r="K29" s="15" t="n">
        <v>11625</v>
      </c>
      <c r="L29" s="15" t="n">
        <v>11504</v>
      </c>
      <c r="M29" s="15" t="n">
        <v>11505</v>
      </c>
      <c r="N29" s="15" t="n">
        <v>11386</v>
      </c>
      <c r="O29" s="15" t="n">
        <v>11508</v>
      </c>
      <c r="P29" s="15" t="n">
        <v>11507</v>
      </c>
      <c r="Q29" s="15" t="n">
        <v>11506</v>
      </c>
      <c r="R29" s="15" t="n">
        <v>11387</v>
      </c>
      <c r="S29" s="15" t="n">
        <v>11627</v>
      </c>
    </row>
    <row r="30">
      <c r="A30" s="16">
        <f>UPPER(SUBSTITUTE(B30, " ", "_"))</f>
        <v/>
      </c>
      <c r="B30" s="15" t="inlineStr">
        <is>
          <t>light mossy stone</t>
        </is>
      </c>
      <c r="C30" s="15" t="n">
        <v>10297</v>
      </c>
      <c r="D30" s="15" t="n">
        <v>10298</v>
      </c>
      <c r="E30" s="15" t="n">
        <v>10299</v>
      </c>
      <c r="F30" s="15" t="n">
        <v>10417</v>
      </c>
      <c r="G30" s="15" t="n">
        <v>10418</v>
      </c>
      <c r="H30" s="15" t="n">
        <v>10417</v>
      </c>
      <c r="I30" s="15" t="n">
        <v>10537</v>
      </c>
      <c r="J30" s="15" t="n">
        <v>10298</v>
      </c>
      <c r="K30" s="15" t="n">
        <v>10539</v>
      </c>
      <c r="L30" s="15" t="n">
        <v>10418</v>
      </c>
      <c r="M30" s="15" t="n">
        <v>10419</v>
      </c>
      <c r="N30" s="15" t="n">
        <v>10300</v>
      </c>
      <c r="O30" s="15" t="n">
        <v>10422</v>
      </c>
      <c r="P30" s="15" t="n">
        <v>10421</v>
      </c>
      <c r="Q30" s="15" t="n">
        <v>10420</v>
      </c>
      <c r="R30" s="15" t="n">
        <v>10301</v>
      </c>
      <c r="S30" s="15" t="n">
        <v>10541</v>
      </c>
    </row>
    <row r="31">
      <c r="A31" s="16">
        <f>UPPER(SUBSTITUTE(B31, " ", "_"))</f>
        <v/>
      </c>
      <c r="B31" s="15" t="inlineStr">
        <is>
          <t>mossy stone</t>
        </is>
      </c>
      <c r="C31" s="15" t="n">
        <v>10657</v>
      </c>
      <c r="D31" s="15" t="n">
        <v>10658</v>
      </c>
      <c r="E31" s="15" t="n">
        <v>10659</v>
      </c>
      <c r="F31" s="15" t="n">
        <v>10777</v>
      </c>
      <c r="G31" s="15" t="n">
        <v>10778</v>
      </c>
      <c r="H31" s="15" t="n">
        <v>10777</v>
      </c>
      <c r="I31" s="15" t="n">
        <v>10897</v>
      </c>
      <c r="J31" s="15" t="n">
        <v>10658</v>
      </c>
      <c r="K31" s="15" t="n">
        <v>10899</v>
      </c>
      <c r="L31" s="15" t="n">
        <v>10778</v>
      </c>
      <c r="M31" s="15" t="n">
        <v>10779</v>
      </c>
      <c r="N31" s="15" t="n">
        <v>10660</v>
      </c>
      <c r="O31" s="15" t="n">
        <v>10782</v>
      </c>
      <c r="P31" s="15" t="n">
        <v>10781</v>
      </c>
      <c r="Q31" s="15" t="n">
        <v>10780</v>
      </c>
      <c r="R31" s="15" t="n">
        <v>10661</v>
      </c>
      <c r="S31" s="15" t="n">
        <v>10901</v>
      </c>
    </row>
    <row r="32">
      <c r="A32" s="16">
        <f>UPPER(SUBSTITUTE(B32, " ", "_"))</f>
        <v/>
      </c>
      <c r="B32" s="15" t="inlineStr">
        <is>
          <t>dark mossy stone</t>
        </is>
      </c>
      <c r="C32" s="15" t="n">
        <v>11017</v>
      </c>
      <c r="D32" s="15" t="n">
        <v>11018</v>
      </c>
      <c r="E32" s="15" t="n">
        <v>11019</v>
      </c>
      <c r="F32" s="15" t="n">
        <v>11137</v>
      </c>
      <c r="G32" s="15" t="n">
        <v>11138</v>
      </c>
      <c r="H32" s="15" t="n">
        <v>11137</v>
      </c>
      <c r="I32" s="15" t="n">
        <v>11257</v>
      </c>
      <c r="J32" s="15" t="n">
        <v>11018</v>
      </c>
      <c r="K32" s="15" t="n">
        <v>11259</v>
      </c>
      <c r="L32" s="15" t="n">
        <v>11138</v>
      </c>
      <c r="M32" s="15" t="n">
        <v>11139</v>
      </c>
      <c r="N32" s="15" t="n">
        <v>11020</v>
      </c>
      <c r="O32" s="15" t="n">
        <v>11142</v>
      </c>
      <c r="P32" s="15" t="n">
        <v>11141</v>
      </c>
      <c r="Q32" s="15" t="n">
        <v>11140</v>
      </c>
      <c r="R32" s="15" t="n">
        <v>11021</v>
      </c>
      <c r="S32" s="15" t="n">
        <v>11261</v>
      </c>
    </row>
    <row r="33">
      <c r="A33" s="16">
        <f>UPPER(SUBSTITUTE(B33, " ", "_"))</f>
        <v/>
      </c>
      <c r="B33" s="15" t="inlineStr">
        <is>
          <t>darker mossy stone</t>
        </is>
      </c>
      <c r="C33" s="15" t="n">
        <v>11377</v>
      </c>
      <c r="D33" s="15" t="n">
        <v>11378</v>
      </c>
      <c r="E33" s="15" t="n">
        <v>11379</v>
      </c>
      <c r="F33" s="15" t="n">
        <v>11497</v>
      </c>
      <c r="G33" s="15" t="n">
        <v>11498</v>
      </c>
      <c r="H33" s="15" t="n">
        <v>11497</v>
      </c>
      <c r="I33" s="15" t="n">
        <v>11617</v>
      </c>
      <c r="J33" s="15" t="n">
        <v>11378</v>
      </c>
      <c r="K33" s="15" t="n">
        <v>11619</v>
      </c>
      <c r="L33" s="15" t="n">
        <v>11498</v>
      </c>
      <c r="M33" s="15" t="n">
        <v>11499</v>
      </c>
      <c r="N33" s="15" t="n">
        <v>11380</v>
      </c>
      <c r="O33" s="15" t="n">
        <v>11502</v>
      </c>
      <c r="P33" s="15" t="n">
        <v>11501</v>
      </c>
      <c r="Q33" s="15" t="n">
        <v>11500</v>
      </c>
      <c r="R33" s="15" t="n">
        <v>11381</v>
      </c>
      <c r="S33" s="15" t="n">
        <v>11621</v>
      </c>
    </row>
    <row r="34">
      <c r="H34" s="14" t="n"/>
    </row>
    <row r="35">
      <c r="H35" s="14" t="n"/>
    </row>
    <row r="36">
      <c r="H36" s="1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zoomScale="115" zoomScaleNormal="115" workbookViewId="0">
      <selection activeCell="B30" sqref="B30"/>
    </sheetView>
  </sheetViews>
  <sheetFormatPr baseColWidth="8" defaultRowHeight="15"/>
  <cols>
    <col width="22" bestFit="1" customWidth="1" style="1" min="1" max="1"/>
    <col width="18.42578125" bestFit="1" customWidth="1" style="1" min="2" max="2"/>
    <col width="11.140625" customWidth="1" style="1" min="3" max="3"/>
    <col width="6.7109375" bestFit="1" customWidth="1" style="1" min="4" max="4"/>
    <col width="12.28515625" customWidth="1" style="1" min="5" max="5"/>
    <col width="6.7109375" bestFit="1" customWidth="1" style="1" min="6" max="6"/>
    <col width="8.42578125" customWidth="1" style="1" min="7" max="7"/>
    <col width="7" customWidth="1" style="1" min="8" max="8"/>
    <col width="11.140625" customWidth="1" style="1" min="9" max="9"/>
    <col width="9.28515625" customWidth="1" style="1" min="10" max="10"/>
    <col width="12.28515625" customWidth="1" style="1" min="11" max="11"/>
    <col width="9.42578125" customWidth="1" style="1" min="12" max="12"/>
    <col width="24.140625" bestFit="1" customWidth="1" style="1" min="13" max="13"/>
    <col width="10.5703125" customWidth="1" style="1" min="14" max="14"/>
    <col width="9.28515625" customWidth="1" style="1" min="15" max="15"/>
    <col width="21.85546875" bestFit="1" customWidth="1" style="1" min="16" max="16"/>
    <col width="12.42578125" customWidth="1" style="1" min="17" max="17"/>
    <col width="8" customWidth="1" style="1" min="18" max="18"/>
    <col width="9.140625" customWidth="1" style="1" min="19" max="16384"/>
  </cols>
  <sheetData>
    <row r="1">
      <c r="A1" s="18" t="inlineStr">
        <is>
          <t>id</t>
        </is>
      </c>
      <c r="B1" s="19" t="inlineStr">
        <is>
          <t>name</t>
        </is>
      </c>
      <c r="C1" s="19" t="inlineStr">
        <is>
          <t>upperLeft</t>
        </is>
      </c>
      <c r="D1" s="19" t="inlineStr">
        <is>
          <t>top</t>
        </is>
      </c>
      <c r="E1" s="19" t="inlineStr">
        <is>
          <t>upperRight</t>
        </is>
      </c>
      <c r="F1" s="19" t="inlineStr">
        <is>
          <t>left</t>
        </is>
      </c>
      <c r="G1" s="19" t="inlineStr">
        <is>
          <t>center</t>
        </is>
      </c>
      <c r="H1" s="19" t="inlineStr">
        <is>
          <t>right</t>
        </is>
      </c>
      <c r="I1" s="19" t="inlineStr">
        <is>
          <t>lowerLeft</t>
        </is>
      </c>
      <c r="J1" s="19" t="inlineStr">
        <is>
          <t>bottom</t>
        </is>
      </c>
      <c r="K1" s="19" t="inlineStr">
        <is>
          <t>lowerRight</t>
        </is>
      </c>
      <c r="L1" s="19" t="inlineStr">
        <is>
          <t>endLeft</t>
        </is>
      </c>
      <c r="M1" s="19" t="inlineStr">
        <is>
          <t>middleCorridorHorizontal</t>
        </is>
      </c>
      <c r="N1" s="19" t="inlineStr">
        <is>
          <t>endRight</t>
        </is>
      </c>
      <c r="O1" s="19" t="inlineStr">
        <is>
          <t>endTop</t>
        </is>
      </c>
      <c r="P1" s="19" t="inlineStr">
        <is>
          <t>middleCorridorVertical</t>
        </is>
      </c>
      <c r="Q1" s="19" t="inlineStr">
        <is>
          <t>endBottom</t>
        </is>
      </c>
      <c r="R1" s="20" t="inlineStr">
        <is>
          <t>single</t>
        </is>
      </c>
    </row>
    <row r="2">
      <c r="A2" s="21">
        <f>UPPER(SUBSTITUTE(B2, " ", "_"))</f>
        <v/>
      </c>
      <c r="B2" s="22" t="inlineStr">
        <is>
          <t>cold stone</t>
        </is>
      </c>
      <c r="C2" s="22" t="n">
        <v>7376</v>
      </c>
      <c r="D2" s="22" t="n">
        <v>7377</v>
      </c>
      <c r="E2" s="22" t="n">
        <v>7378</v>
      </c>
      <c r="F2" s="22" t="n">
        <v>7496</v>
      </c>
      <c r="G2" s="22" t="n">
        <v>7497</v>
      </c>
      <c r="H2" s="22" t="n">
        <v>7498</v>
      </c>
      <c r="I2" s="22" t="n">
        <v>7616</v>
      </c>
      <c r="J2" s="22" t="n">
        <v>7617</v>
      </c>
      <c r="K2" s="22" t="n">
        <v>7618</v>
      </c>
      <c r="L2" s="22" t="n">
        <v>7500</v>
      </c>
      <c r="M2" s="15" t="n">
        <v>7501</v>
      </c>
      <c r="N2" s="15" t="n">
        <v>7502</v>
      </c>
      <c r="O2" s="15" t="n">
        <v>7379</v>
      </c>
      <c r="P2" s="15" t="n">
        <v>7499</v>
      </c>
      <c r="Q2" s="15" t="n">
        <v>7619</v>
      </c>
      <c r="R2" s="17" t="n">
        <v>7381</v>
      </c>
    </row>
    <row r="3">
      <c r="A3" s="21">
        <f>UPPER(SUBSTITUTE(B3, " ", "_"))</f>
        <v/>
      </c>
      <c r="B3" s="22" t="inlineStr">
        <is>
          <t>stone</t>
        </is>
      </c>
      <c r="C3" s="22" t="n">
        <v>7736</v>
      </c>
      <c r="D3" s="22" t="n">
        <v>7737</v>
      </c>
      <c r="E3" s="22" t="n">
        <v>7738</v>
      </c>
      <c r="F3" s="22" t="n">
        <v>7856</v>
      </c>
      <c r="G3" s="22" t="n">
        <v>7857</v>
      </c>
      <c r="H3" s="22" t="n">
        <v>7858</v>
      </c>
      <c r="I3" s="22" t="n">
        <v>7976</v>
      </c>
      <c r="J3" s="22" t="n">
        <v>7977</v>
      </c>
      <c r="K3" s="22" t="n">
        <v>7978</v>
      </c>
      <c r="L3" s="22" t="n">
        <v>7860</v>
      </c>
      <c r="M3" s="22" t="n">
        <v>7861</v>
      </c>
      <c r="N3" s="22" t="n">
        <v>7862</v>
      </c>
      <c r="O3" s="22" t="n">
        <v>7739</v>
      </c>
      <c r="P3" s="22" t="n">
        <v>7859</v>
      </c>
      <c r="Q3" s="22" t="n">
        <v>7979</v>
      </c>
      <c r="R3" s="22" t="n">
        <v>7741</v>
      </c>
    </row>
    <row r="4">
      <c r="A4" s="21">
        <f>UPPER(SUBSTITUTE(B4, " ", "_"))</f>
        <v/>
      </c>
      <c r="B4" s="22" t="inlineStr">
        <is>
          <t>dark stone</t>
        </is>
      </c>
      <c r="C4" s="22" t="n">
        <v>8096</v>
      </c>
      <c r="D4" s="22" t="n">
        <v>8097</v>
      </c>
      <c r="E4" s="22" t="n">
        <v>8098</v>
      </c>
      <c r="F4" s="22" t="n">
        <v>8216</v>
      </c>
      <c r="G4" s="22" t="n">
        <v>8217</v>
      </c>
      <c r="H4" s="22" t="n">
        <v>8218</v>
      </c>
      <c r="I4" s="22" t="n">
        <v>8336</v>
      </c>
      <c r="J4" s="22" t="n">
        <v>8337</v>
      </c>
      <c r="K4" s="22" t="n">
        <v>8338</v>
      </c>
      <c r="L4" s="22" t="n">
        <v>8220</v>
      </c>
      <c r="M4" s="22" t="n">
        <v>8221</v>
      </c>
      <c r="N4" s="22" t="n">
        <v>8222</v>
      </c>
      <c r="O4" s="22" t="n">
        <v>8099</v>
      </c>
      <c r="P4" s="22" t="n">
        <v>8219</v>
      </c>
      <c r="Q4" s="22" t="n">
        <v>8339</v>
      </c>
      <c r="R4" s="22" t="n">
        <v>8101</v>
      </c>
    </row>
    <row r="5">
      <c r="A5" s="21">
        <f>UPPER(SUBSTITUTE(B5, " ", "_"))</f>
        <v/>
      </c>
      <c r="B5" s="22" t="inlineStr">
        <is>
          <t>darker stone</t>
        </is>
      </c>
      <c r="C5" s="22" t="n">
        <v>8456</v>
      </c>
      <c r="D5" s="22" t="n">
        <v>8457</v>
      </c>
      <c r="E5" s="22" t="n">
        <v>8458</v>
      </c>
      <c r="F5" s="22" t="n">
        <v>8576</v>
      </c>
      <c r="G5" s="22" t="n">
        <v>8577</v>
      </c>
      <c r="H5" s="22" t="n">
        <v>8578</v>
      </c>
      <c r="I5" s="22" t="n">
        <v>8696</v>
      </c>
      <c r="J5" s="22" t="n">
        <v>8697</v>
      </c>
      <c r="K5" s="22" t="n">
        <v>8698</v>
      </c>
      <c r="L5" s="22" t="n">
        <v>8580</v>
      </c>
      <c r="M5" s="22" t="n">
        <v>8581</v>
      </c>
      <c r="N5" s="22" t="n">
        <v>8582</v>
      </c>
      <c r="O5" s="22" t="n">
        <v>8459</v>
      </c>
      <c r="P5" s="22" t="n">
        <v>8579</v>
      </c>
      <c r="Q5" s="22" t="n">
        <v>8699</v>
      </c>
      <c r="R5" s="22" t="n">
        <v>8461</v>
      </c>
    </row>
    <row r="6">
      <c r="A6" s="21">
        <f>UPPER(SUBSTITUTE(B6, " ", "_"))</f>
        <v/>
      </c>
      <c r="B6" s="22" t="inlineStr">
        <is>
          <t>light dirt</t>
        </is>
      </c>
      <c r="C6" s="22" t="n">
        <v>8816</v>
      </c>
      <c r="D6" s="22" t="n">
        <v>8817</v>
      </c>
      <c r="E6" s="22" t="n">
        <v>8818</v>
      </c>
      <c r="F6" s="22" t="n">
        <v>8936</v>
      </c>
      <c r="G6" s="22" t="n">
        <v>8937</v>
      </c>
      <c r="H6" s="22" t="n">
        <v>8938</v>
      </c>
      <c r="I6" s="22" t="n">
        <v>9056</v>
      </c>
      <c r="J6" s="22" t="n">
        <v>9057</v>
      </c>
      <c r="K6" s="22" t="n">
        <v>9058</v>
      </c>
      <c r="L6" s="22" t="n">
        <v>8940</v>
      </c>
      <c r="M6" s="22" t="n">
        <v>8941</v>
      </c>
      <c r="N6" s="22" t="n">
        <v>8942</v>
      </c>
      <c r="O6" s="22" t="n">
        <v>8819</v>
      </c>
      <c r="P6" s="22" t="n">
        <v>8939</v>
      </c>
      <c r="Q6" s="22" t="n">
        <v>9059</v>
      </c>
      <c r="R6" s="22" t="n">
        <v>8821</v>
      </c>
    </row>
    <row r="7">
      <c r="A7" s="21">
        <f>UPPER(SUBSTITUTE(B7, " ", "_"))</f>
        <v/>
      </c>
      <c r="B7" s="22" t="inlineStr">
        <is>
          <t>dirt</t>
        </is>
      </c>
      <c r="C7" s="22" t="n">
        <v>9176</v>
      </c>
      <c r="D7" s="22" t="n">
        <v>9177</v>
      </c>
      <c r="E7" s="22" t="n">
        <v>9178</v>
      </c>
      <c r="F7" s="22" t="n">
        <v>9296</v>
      </c>
      <c r="G7" s="22" t="n">
        <v>9297</v>
      </c>
      <c r="H7" s="22" t="n">
        <v>9298</v>
      </c>
      <c r="I7" s="22" t="n">
        <v>9416</v>
      </c>
      <c r="J7" s="22" t="n">
        <v>9417</v>
      </c>
      <c r="K7" s="22" t="n">
        <v>9418</v>
      </c>
      <c r="L7" s="22" t="n">
        <v>9300</v>
      </c>
      <c r="M7" s="22" t="n">
        <v>9301</v>
      </c>
      <c r="N7" s="22" t="n">
        <v>9302</v>
      </c>
      <c r="O7" s="22" t="n">
        <v>9179</v>
      </c>
      <c r="P7" s="22" t="n">
        <v>9299</v>
      </c>
      <c r="Q7" s="22" t="n">
        <v>9419</v>
      </c>
      <c r="R7" s="22" t="n">
        <v>9181</v>
      </c>
    </row>
    <row r="8">
      <c r="A8" s="21">
        <f>UPPER(SUBSTITUTE(B8, " ", "_"))</f>
        <v/>
      </c>
      <c r="B8" s="22" t="inlineStr">
        <is>
          <t>dark dirt</t>
        </is>
      </c>
      <c r="C8" s="22" t="n">
        <v>9536</v>
      </c>
      <c r="D8" s="22" t="n">
        <v>9537</v>
      </c>
      <c r="E8" s="22" t="n">
        <v>9538</v>
      </c>
      <c r="F8" s="22" t="n">
        <v>9656</v>
      </c>
      <c r="G8" s="22" t="n">
        <v>9657</v>
      </c>
      <c r="H8" s="22" t="n">
        <v>9658</v>
      </c>
      <c r="I8" s="22" t="n">
        <v>9776</v>
      </c>
      <c r="J8" s="22" t="n">
        <v>9777</v>
      </c>
      <c r="K8" s="22" t="n">
        <v>9778</v>
      </c>
      <c r="L8" s="22" t="n">
        <v>9660</v>
      </c>
      <c r="M8" s="22" t="n">
        <v>9661</v>
      </c>
      <c r="N8" s="22" t="n">
        <v>9662</v>
      </c>
      <c r="O8" s="22" t="n">
        <v>9539</v>
      </c>
      <c r="P8" s="22" t="n">
        <v>9659</v>
      </c>
      <c r="Q8" s="22" t="n">
        <v>9779</v>
      </c>
      <c r="R8" s="22" t="n">
        <v>9541</v>
      </c>
    </row>
    <row r="9">
      <c r="A9" s="21">
        <f>UPPER(SUBSTITUTE(B9, " ", "_"))</f>
        <v/>
      </c>
      <c r="B9" s="22" t="inlineStr">
        <is>
          <t>darker dirt</t>
        </is>
      </c>
      <c r="C9" s="22" t="n">
        <v>9896</v>
      </c>
      <c r="D9" s="22" t="n">
        <v>9897</v>
      </c>
      <c r="E9" s="22" t="n">
        <v>9898</v>
      </c>
      <c r="F9" s="22" t="n">
        <v>10016</v>
      </c>
      <c r="G9" s="22" t="n">
        <v>10017</v>
      </c>
      <c r="H9" s="22" t="n">
        <v>10018</v>
      </c>
      <c r="I9" s="22" t="n">
        <v>10136</v>
      </c>
      <c r="J9" s="22" t="n">
        <v>10137</v>
      </c>
      <c r="K9" s="22" t="n">
        <v>10138</v>
      </c>
      <c r="L9" s="22" t="n">
        <v>10020</v>
      </c>
      <c r="M9" s="22" t="n">
        <v>10021</v>
      </c>
      <c r="N9" s="22" t="n">
        <v>10022</v>
      </c>
      <c r="O9" s="22" t="n">
        <v>9899</v>
      </c>
      <c r="P9" s="22" t="n">
        <v>10019</v>
      </c>
      <c r="Q9" s="22" t="n">
        <v>10139</v>
      </c>
      <c r="R9" s="22" t="n">
        <v>9901</v>
      </c>
    </row>
    <row r="10">
      <c r="A10" s="21">
        <f>UPPER(SUBSTITUTE(B10, " ", "_"))</f>
        <v/>
      </c>
      <c r="B10" s="22" t="inlineStr">
        <is>
          <t>light grass</t>
        </is>
      </c>
      <c r="C10" s="22" t="n">
        <v>7383</v>
      </c>
      <c r="D10" s="22" t="n">
        <v>7384</v>
      </c>
      <c r="E10" s="22" t="n">
        <v>7385</v>
      </c>
      <c r="F10" s="22" t="n">
        <v>7503</v>
      </c>
      <c r="G10" s="22" t="n">
        <v>7504</v>
      </c>
      <c r="H10" s="22" t="n">
        <v>7505</v>
      </c>
      <c r="I10" s="22" t="n">
        <v>7623</v>
      </c>
      <c r="J10" s="22" t="n">
        <v>7624</v>
      </c>
      <c r="K10" s="22" t="n">
        <v>7625</v>
      </c>
      <c r="L10" s="22" t="n">
        <v>7507</v>
      </c>
      <c r="M10" s="22" t="n">
        <v>7508</v>
      </c>
      <c r="N10" s="22" t="n">
        <v>7509</v>
      </c>
      <c r="O10" s="22" t="n">
        <v>7386</v>
      </c>
      <c r="P10" s="22" t="n">
        <v>7506</v>
      </c>
      <c r="Q10" s="22" t="n">
        <v>7626</v>
      </c>
      <c r="R10" s="22" t="n">
        <v>7388</v>
      </c>
    </row>
    <row r="11">
      <c r="A11" s="21">
        <f>UPPER(SUBSTITUTE(B11, " ", "_"))</f>
        <v/>
      </c>
      <c r="B11" s="22" t="inlineStr">
        <is>
          <t>grass</t>
        </is>
      </c>
      <c r="C11" s="22" t="n">
        <v>7743</v>
      </c>
      <c r="D11" s="22" t="n">
        <v>7744</v>
      </c>
      <c r="E11" s="22" t="n">
        <v>7745</v>
      </c>
      <c r="F11" s="22" t="n">
        <v>7863</v>
      </c>
      <c r="G11" s="22" t="n">
        <v>7864</v>
      </c>
      <c r="H11" s="22" t="n">
        <v>7865</v>
      </c>
      <c r="I11" s="22" t="n">
        <v>7983</v>
      </c>
      <c r="J11" s="22" t="n">
        <v>7984</v>
      </c>
      <c r="K11" s="22" t="n">
        <v>7985</v>
      </c>
      <c r="L11" s="22" t="n">
        <v>7867</v>
      </c>
      <c r="M11" s="22" t="n">
        <v>7868</v>
      </c>
      <c r="N11" s="22" t="n">
        <v>7869</v>
      </c>
      <c r="O11" s="22" t="n">
        <v>7746</v>
      </c>
      <c r="P11" s="22" t="n">
        <v>7866</v>
      </c>
      <c r="Q11" s="22" t="n">
        <v>7986</v>
      </c>
      <c r="R11" s="22" t="n">
        <v>7748</v>
      </c>
    </row>
    <row r="12">
      <c r="A12" s="21">
        <f>UPPER(SUBSTITUTE(B12, " ", "_"))</f>
        <v/>
      </c>
      <c r="B12" s="22" t="inlineStr">
        <is>
          <t>dark grass</t>
        </is>
      </c>
      <c r="C12" s="22" t="n">
        <v>8103</v>
      </c>
      <c r="D12" s="22" t="n">
        <v>8104</v>
      </c>
      <c r="E12" s="22" t="n">
        <v>8105</v>
      </c>
      <c r="F12" s="22" t="n">
        <v>8223</v>
      </c>
      <c r="G12" s="22" t="n">
        <v>8224</v>
      </c>
      <c r="H12" s="22" t="n">
        <v>8225</v>
      </c>
      <c r="I12" s="22" t="n">
        <v>8343</v>
      </c>
      <c r="J12" s="22" t="n">
        <v>8344</v>
      </c>
      <c r="K12" s="22" t="n">
        <v>8345</v>
      </c>
      <c r="L12" s="22" t="n">
        <v>8227</v>
      </c>
      <c r="M12" s="22" t="n">
        <v>8228</v>
      </c>
      <c r="N12" s="22" t="n">
        <v>8229</v>
      </c>
      <c r="O12" s="22" t="n">
        <v>8106</v>
      </c>
      <c r="P12" s="22" t="n">
        <v>8226</v>
      </c>
      <c r="Q12" s="22" t="n">
        <v>8346</v>
      </c>
      <c r="R12" s="22" t="n">
        <v>8108</v>
      </c>
    </row>
    <row r="13">
      <c r="A13" s="21">
        <f>UPPER(SUBSTITUTE(B13, " ", "_"))</f>
        <v/>
      </c>
      <c r="B13" s="22" t="inlineStr">
        <is>
          <t>darker grass</t>
        </is>
      </c>
      <c r="C13" s="22" t="n">
        <v>8463</v>
      </c>
      <c r="D13" s="22" t="n">
        <v>8464</v>
      </c>
      <c r="E13" s="22" t="n">
        <v>8465</v>
      </c>
      <c r="F13" s="22" t="n">
        <v>8583</v>
      </c>
      <c r="G13" s="22" t="n">
        <v>8584</v>
      </c>
      <c r="H13" s="22" t="n">
        <v>8585</v>
      </c>
      <c r="I13" s="22" t="n">
        <v>8703</v>
      </c>
      <c r="J13" s="22" t="n">
        <v>8704</v>
      </c>
      <c r="K13" s="22" t="n">
        <v>8705</v>
      </c>
      <c r="L13" s="22" t="n">
        <v>8587</v>
      </c>
      <c r="M13" s="22" t="n">
        <v>8588</v>
      </c>
      <c r="N13" s="22" t="n">
        <v>8589</v>
      </c>
      <c r="O13" s="22" t="n">
        <v>8466</v>
      </c>
      <c r="P13" s="22" t="n">
        <v>8586</v>
      </c>
      <c r="Q13" s="22" t="n">
        <v>8706</v>
      </c>
      <c r="R13" s="22" t="n">
        <v>8468</v>
      </c>
    </row>
    <row r="14">
      <c r="A14" s="21">
        <f>UPPER(SUBSTITUTE(B14, " ", "_"))</f>
        <v/>
      </c>
      <c r="B14" s="22" t="inlineStr">
        <is>
          <t>light wood</t>
        </is>
      </c>
      <c r="C14" s="22" t="n">
        <v>8823</v>
      </c>
      <c r="D14" s="22" t="n">
        <v>8824</v>
      </c>
      <c r="E14" s="22" t="n">
        <v>8825</v>
      </c>
      <c r="F14" s="22" t="n">
        <v>8943</v>
      </c>
      <c r="G14" s="22" t="n">
        <v>8944</v>
      </c>
      <c r="H14" s="22" t="n">
        <v>8945</v>
      </c>
      <c r="I14" s="22" t="n">
        <v>9063</v>
      </c>
      <c r="J14" s="22" t="n">
        <v>9064</v>
      </c>
      <c r="K14" s="22" t="n">
        <v>9065</v>
      </c>
      <c r="L14" s="22" t="n">
        <v>8947</v>
      </c>
      <c r="M14" s="22" t="n">
        <v>8948</v>
      </c>
      <c r="N14" s="22" t="n">
        <v>8949</v>
      </c>
      <c r="O14" s="22" t="n">
        <v>8826</v>
      </c>
      <c r="P14" s="22" t="n">
        <v>8946</v>
      </c>
      <c r="Q14" s="22" t="n">
        <v>9066</v>
      </c>
      <c r="R14" s="22" t="n">
        <v>8828</v>
      </c>
    </row>
    <row r="15">
      <c r="A15" s="21">
        <f>UPPER(SUBSTITUTE(B15, " ", "_"))</f>
        <v/>
      </c>
      <c r="B15" s="22" t="inlineStr">
        <is>
          <t>wood</t>
        </is>
      </c>
      <c r="C15" s="22" t="n">
        <v>9183</v>
      </c>
      <c r="D15" s="22" t="n">
        <v>9184</v>
      </c>
      <c r="E15" s="22" t="n">
        <v>9185</v>
      </c>
      <c r="F15" s="22" t="n">
        <v>9303</v>
      </c>
      <c r="G15" s="22" t="n">
        <v>9304</v>
      </c>
      <c r="H15" s="22" t="n">
        <v>9305</v>
      </c>
      <c r="I15" s="22" t="n">
        <v>9423</v>
      </c>
      <c r="J15" s="22" t="n">
        <v>9424</v>
      </c>
      <c r="K15" s="22" t="n">
        <v>9425</v>
      </c>
      <c r="L15" s="22" t="n">
        <v>9307</v>
      </c>
      <c r="M15" s="22" t="n">
        <v>9308</v>
      </c>
      <c r="N15" s="22" t="n">
        <v>9309</v>
      </c>
      <c r="O15" s="22" t="n">
        <v>9186</v>
      </c>
      <c r="P15" s="22" t="n">
        <v>9306</v>
      </c>
      <c r="Q15" s="22" t="n">
        <v>9426</v>
      </c>
      <c r="R15" s="22" t="n">
        <v>9188</v>
      </c>
    </row>
    <row r="16">
      <c r="A16" s="21">
        <f>UPPER(SUBSTITUTE(B16, " ", "_"))</f>
        <v/>
      </c>
      <c r="B16" s="22" t="inlineStr">
        <is>
          <t>dark wood</t>
        </is>
      </c>
      <c r="C16" s="22" t="n">
        <v>9543</v>
      </c>
      <c r="D16" s="22" t="n">
        <v>9544</v>
      </c>
      <c r="E16" s="22" t="n">
        <v>9545</v>
      </c>
      <c r="F16" s="22" t="n">
        <v>9663</v>
      </c>
      <c r="G16" s="22" t="n">
        <v>9664</v>
      </c>
      <c r="H16" s="22" t="n">
        <v>9665</v>
      </c>
      <c r="I16" s="22" t="n">
        <v>9783</v>
      </c>
      <c r="J16" s="22" t="n">
        <v>9784</v>
      </c>
      <c r="K16" s="22" t="n">
        <v>9785</v>
      </c>
      <c r="L16" s="22" t="n">
        <v>9667</v>
      </c>
      <c r="M16" s="22" t="n">
        <v>9668</v>
      </c>
      <c r="N16" s="22" t="n">
        <v>9669</v>
      </c>
      <c r="O16" s="22" t="n">
        <v>9546</v>
      </c>
      <c r="P16" s="22" t="n">
        <v>9666</v>
      </c>
      <c r="Q16" s="22" t="n">
        <v>9786</v>
      </c>
      <c r="R16" s="22" t="n">
        <v>9548</v>
      </c>
    </row>
    <row r="17">
      <c r="A17" s="21">
        <f>UPPER(SUBSTITUTE(B17, " ", "_"))</f>
        <v/>
      </c>
      <c r="B17" s="22" t="inlineStr">
        <is>
          <t>darker wood</t>
        </is>
      </c>
      <c r="C17" s="22" t="n">
        <v>9903</v>
      </c>
      <c r="D17" s="22" t="n">
        <v>9904</v>
      </c>
      <c r="E17" s="22" t="n">
        <v>9905</v>
      </c>
      <c r="F17" s="22" t="n">
        <v>10023</v>
      </c>
      <c r="G17" s="22" t="n">
        <v>10024</v>
      </c>
      <c r="H17" s="22" t="n">
        <v>10025</v>
      </c>
      <c r="I17" s="22" t="n">
        <v>10143</v>
      </c>
      <c r="J17" s="22" t="n">
        <v>10144</v>
      </c>
      <c r="K17" s="22" t="n">
        <v>10145</v>
      </c>
      <c r="L17" s="22" t="n">
        <v>10027</v>
      </c>
      <c r="M17" s="22" t="n">
        <v>10028</v>
      </c>
      <c r="N17" s="22" t="n">
        <v>10029</v>
      </c>
      <c r="O17" s="22" t="n">
        <v>9906</v>
      </c>
      <c r="P17" s="22" t="n">
        <v>10026</v>
      </c>
      <c r="Q17" s="22" t="n">
        <v>10146</v>
      </c>
      <c r="R17" s="22" t="n">
        <v>9908</v>
      </c>
    </row>
    <row r="18">
      <c r="A18" s="21">
        <f>UPPER(SUBSTITUTE(B18, " ", "_"))</f>
        <v/>
      </c>
      <c r="B18" s="22" t="inlineStr">
        <is>
          <t>cold cobblestone</t>
        </is>
      </c>
      <c r="C18" s="22" t="n">
        <v>10270</v>
      </c>
      <c r="D18" s="22" t="n">
        <v>10271</v>
      </c>
      <c r="E18" s="22" t="n">
        <v>10272</v>
      </c>
      <c r="F18" s="22" t="n">
        <v>10390</v>
      </c>
      <c r="G18" s="22" t="n">
        <v>10391</v>
      </c>
      <c r="H18" s="22" t="n">
        <v>10392</v>
      </c>
      <c r="I18" s="22" t="n">
        <v>10510</v>
      </c>
      <c r="J18" s="22" t="n">
        <v>10511</v>
      </c>
      <c r="K18" s="22" t="n">
        <v>10512</v>
      </c>
      <c r="L18" s="22" t="n">
        <v>10394</v>
      </c>
      <c r="M18" s="22" t="n">
        <v>10395</v>
      </c>
      <c r="N18" s="22" t="n">
        <v>10396</v>
      </c>
      <c r="O18" s="22" t="n">
        <v>10273</v>
      </c>
      <c r="P18" s="22" t="n">
        <v>10393</v>
      </c>
      <c r="Q18" s="22" t="n">
        <v>10513</v>
      </c>
      <c r="R18" s="22" t="n">
        <v>10275</v>
      </c>
    </row>
    <row r="19">
      <c r="A19" s="21">
        <f>UPPER(SUBSTITUTE(B19, " ", "_"))</f>
        <v/>
      </c>
      <c r="B19" s="22" t="inlineStr">
        <is>
          <t>cobblestone</t>
        </is>
      </c>
      <c r="C19" s="22" t="n">
        <v>10630</v>
      </c>
      <c r="D19" s="22" t="n">
        <v>10631</v>
      </c>
      <c r="E19" s="22" t="n">
        <v>10632</v>
      </c>
      <c r="F19" s="22" t="n">
        <v>10750</v>
      </c>
      <c r="G19" s="22" t="n">
        <v>10751</v>
      </c>
      <c r="H19" s="22" t="n">
        <v>10752</v>
      </c>
      <c r="I19" s="22" t="n">
        <v>10870</v>
      </c>
      <c r="J19" s="22" t="n">
        <v>10871</v>
      </c>
      <c r="K19" s="22" t="n">
        <v>10872</v>
      </c>
      <c r="L19" s="22" t="n">
        <v>10754</v>
      </c>
      <c r="M19" s="22" t="n">
        <v>10755</v>
      </c>
      <c r="N19" s="22" t="n">
        <v>10756</v>
      </c>
      <c r="O19" s="22" t="n">
        <v>10633</v>
      </c>
      <c r="P19" s="22" t="n">
        <v>10753</v>
      </c>
      <c r="Q19" s="22" t="n">
        <v>10873</v>
      </c>
      <c r="R19" s="22" t="n">
        <v>10635</v>
      </c>
    </row>
    <row r="20">
      <c r="A20" s="21">
        <f>UPPER(SUBSTITUTE(B20, " ", "_"))</f>
        <v/>
      </c>
      <c r="B20" s="22" t="inlineStr">
        <is>
          <t>dark cobblestone</t>
        </is>
      </c>
      <c r="C20" s="22" t="n">
        <v>10990</v>
      </c>
      <c r="D20" s="22" t="n">
        <v>10991</v>
      </c>
      <c r="E20" s="22" t="n">
        <v>10992</v>
      </c>
      <c r="F20" s="22" t="n">
        <v>11110</v>
      </c>
      <c r="G20" s="22" t="n">
        <v>11111</v>
      </c>
      <c r="H20" s="22" t="n">
        <v>11112</v>
      </c>
      <c r="I20" s="22" t="n">
        <v>11230</v>
      </c>
      <c r="J20" s="22" t="n">
        <v>11231</v>
      </c>
      <c r="K20" s="22" t="n">
        <v>11232</v>
      </c>
      <c r="L20" s="22" t="n">
        <v>11114</v>
      </c>
      <c r="M20" s="22" t="n">
        <v>11115</v>
      </c>
      <c r="N20" s="22" t="n">
        <v>11116</v>
      </c>
      <c r="O20" s="22" t="n">
        <v>10993</v>
      </c>
      <c r="P20" s="22" t="n">
        <v>11113</v>
      </c>
      <c r="Q20" s="22" t="n">
        <v>11233</v>
      </c>
      <c r="R20" s="22" t="n">
        <v>10995</v>
      </c>
    </row>
    <row r="21">
      <c r="A21" s="21">
        <f>UPPER(SUBSTITUTE(B21, " ", "_"))</f>
        <v/>
      </c>
      <c r="B21" s="22" t="inlineStr">
        <is>
          <t>darker cobblestone</t>
        </is>
      </c>
      <c r="C21" s="22" t="n">
        <v>11350</v>
      </c>
      <c r="D21" s="22" t="n">
        <v>11351</v>
      </c>
      <c r="E21" s="22" t="n">
        <v>11352</v>
      </c>
      <c r="F21" s="22" t="n">
        <v>11470</v>
      </c>
      <c r="G21" s="22" t="n">
        <v>11471</v>
      </c>
      <c r="H21" s="22" t="n">
        <v>11472</v>
      </c>
      <c r="I21" s="22" t="n">
        <v>11590</v>
      </c>
      <c r="J21" s="22" t="n">
        <v>11591</v>
      </c>
      <c r="K21" s="22" t="n">
        <v>11592</v>
      </c>
      <c r="L21" s="22" t="n">
        <v>11474</v>
      </c>
      <c r="M21" s="22" t="n">
        <v>11475</v>
      </c>
      <c r="N21" s="22" t="n">
        <v>11476</v>
      </c>
      <c r="O21" s="22" t="n">
        <v>11353</v>
      </c>
      <c r="P21" s="22" t="n">
        <v>11473</v>
      </c>
      <c r="Q21" s="22" t="n">
        <v>11593</v>
      </c>
      <c r="R21" s="22" t="n">
        <v>11355</v>
      </c>
    </row>
    <row r="22">
      <c r="A22" s="23" t="n"/>
      <c r="B22" s="14" t="n"/>
      <c r="C22" s="14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</row>
    <row r="23">
      <c r="A23" s="23" t="n"/>
      <c r="B23" s="14" t="n"/>
      <c r="C23" s="14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id</t>
        </is>
      </c>
      <c r="B1" s="26" t="inlineStr">
        <is>
          <t>name</t>
        </is>
      </c>
      <c r="C1" s="26" t="inlineStr">
        <is>
          <t>name_zh</t>
        </is>
      </c>
      <c r="D1" s="26" t="inlineStr">
        <is>
          <t>count</t>
        </is>
      </c>
      <c r="E1" s="26" t="inlineStr">
        <is>
          <t>used_in_maps</t>
        </is>
      </c>
      <c r="F1" s="26" t="inlineStr">
        <is>
          <t>tiles</t>
        </is>
      </c>
    </row>
    <row r="2">
      <c r="A2" t="inlineStr">
        <is>
          <t>TREE</t>
        </is>
      </c>
      <c r="B2" t="inlineStr">
        <is>
          <t>tree</t>
        </is>
      </c>
      <c r="C2" t="inlineStr">
        <is>
          <t>树</t>
        </is>
      </c>
      <c r="D2" t="n">
        <v>20</v>
      </c>
      <c r="E2" t="n">
        <v>10</v>
      </c>
      <c r="F2" t="inlineStr">
        <is>
          <t>7352,7353,7354,7355,7356,7357,7472,7473,7474,7475,7476,7477,7592,7593,7594,7595,7596,7597,7713,7715</t>
        </is>
      </c>
    </row>
    <row r="3">
      <c r="A3" t="inlineStr">
        <is>
          <t>DEAD_TREE</t>
        </is>
      </c>
      <c r="B3" t="inlineStr">
        <is>
          <t>dead tree</t>
        </is>
      </c>
      <c r="C3" t="inlineStr">
        <is>
          <t>枯树</t>
        </is>
      </c>
      <c r="D3" t="n">
        <v>18</v>
      </c>
      <c r="E3" t="n">
        <v>8</v>
      </c>
      <c r="F3" t="inlineStr">
        <is>
          <t>7358,7359,7360,7361,7362,7363,7478,7479,7480,7481,7482,7483,7598,7599,7600,7601,7602,7603</t>
        </is>
      </c>
    </row>
    <row r="4">
      <c r="A4" t="inlineStr">
        <is>
          <t>WATER</t>
        </is>
      </c>
      <c r="B4" t="inlineStr">
        <is>
          <t>water</t>
        </is>
      </c>
      <c r="C4" t="inlineStr">
        <is>
          <t>水面</t>
        </is>
      </c>
      <c r="D4" t="n">
        <v>97</v>
      </c>
      <c r="E4" t="n">
        <v>8</v>
      </c>
      <c r="F4" t="inlineStr">
        <is>
          <t>7831,7936,7937,7938,7939,7940,7941,7942,7943,7944,7945,7946,7947,7948,7949,7950,7951,8056,8057,8058,8059,8060,8061,8062,8063,8064,8065,8066,8067,8068,8069,8070,8071,8176,8177,8178,8179,8180,8181,8182,8183,8184,8185,8186,8187,8188,8189,8190,8191,8296,8297,8298,8299,8300,8301,8302,8303,8304,8305,8306,8307,8308,8309,8310,8311,8416,8417,8418,8419,8420,8421,8422,8423,8424,8425,8426,8427,8428,8429,8430,8431,8536,8537,8538,8539,8540,8541,8542,8543,8544,8545,8546,8547,8548,8549,8550,8551</t>
        </is>
      </c>
    </row>
    <row r="5">
      <c r="A5" t="inlineStr">
        <is>
          <t>GRAVE</t>
        </is>
      </c>
      <c r="B5" t="inlineStr">
        <is>
          <t>grave</t>
        </is>
      </c>
      <c r="C5" t="inlineStr">
        <is>
          <t>墓碑</t>
        </is>
      </c>
      <c r="D5" t="n">
        <v>20</v>
      </c>
      <c r="E5" t="n">
        <v>6</v>
      </c>
      <c r="F5" t="inlineStr">
        <is>
          <t>5968,5969,5970,5971,5972,5976,5977,5978,5979,5980,6088,6089,6090,6091,6092,6096,6097,6098,6099,6100</t>
        </is>
      </c>
    </row>
    <row r="6">
      <c r="A6" t="inlineStr">
        <is>
          <t>SIGN</t>
        </is>
      </c>
      <c r="B6" t="inlineStr">
        <is>
          <t>sign</t>
        </is>
      </c>
      <c r="C6" t="inlineStr">
        <is>
          <t>招牌</t>
        </is>
      </c>
      <c r="D6" t="n">
        <v>32</v>
      </c>
      <c r="E6" t="n">
        <v>8</v>
      </c>
      <c r="F6" t="inlineStr">
        <is>
          <t>4528,4529,4530,4531,4532,4533,4534,4535,4536,4537,4538,4539,4540,4541,4542,4543,4648,4649,4650,4651,4652,4653,4654,4655,4656,4657,4658,4659,4660,4661,4662,4663</t>
        </is>
      </c>
    </row>
    <row r="7">
      <c r="A7" t="inlineStr">
        <is>
          <t>TORCH</t>
        </is>
      </c>
      <c r="B7" t="inlineStr">
        <is>
          <t>torch</t>
        </is>
      </c>
      <c r="C7" t="inlineStr">
        <is>
          <t>火把</t>
        </is>
      </c>
      <c r="D7" t="n">
        <v>17</v>
      </c>
      <c r="E7" t="n">
        <v>4</v>
      </c>
      <c r="F7" t="inlineStr">
        <is>
          <t>4775,4888,4889,4890,4891,4892,4893,4894,4895,4896,4897,4898,4899,4900,4901,4902,4903</t>
        </is>
      </c>
    </row>
    <row r="8">
      <c r="A8" t="inlineStr">
        <is>
          <t>FLOWERS</t>
        </is>
      </c>
      <c r="B8" t="inlineStr">
        <is>
          <t>flowers</t>
        </is>
      </c>
      <c r="C8" t="inlineStr">
        <is>
          <t>花丛</t>
        </is>
      </c>
      <c r="D8" t="n">
        <v>21</v>
      </c>
      <c r="E8" t="n">
        <v>10</v>
      </c>
      <c r="F8" t="inlineStr">
        <is>
          <t>1481,1482,1483,1484,1485,1486,1487,1488,1489,1490,1491,1492,1493,1494,1495,1496,1497,1607,1609,1611,1615</t>
        </is>
      </c>
    </row>
    <row r="9">
      <c r="A9" t="inlineStr">
        <is>
          <t>FENCE</t>
        </is>
      </c>
      <c r="B9" t="inlineStr">
        <is>
          <t>fence</t>
        </is>
      </c>
      <c r="C9" t="inlineStr">
        <is>
          <t>栅栏</t>
        </is>
      </c>
      <c r="D9" t="n">
        <v>72</v>
      </c>
      <c r="E9" t="n">
        <v>10</v>
      </c>
      <c r="F9" t="inlineStr">
        <is>
          <t>2736,2737,2738,2739,2740,2741,2856,2857,2858,2859,2860,2861,2976,2977,2978,2979,2980,2981,3096,3097,3098,3099,3100,3101,3216,3217,3218,3219,3220,3221,3336,3337,3338,3339,3340,3341,3456,3457,3458,3459,3460,3461,3576,3577,3578,3579,3580,3581,3696,3697,3698,3699,3700,3701,3928,3929,3930,3931,3932,3933,3934,3935,3936,3937,3938,3939,3940,3941,3942,3943,4051,4055</t>
        </is>
      </c>
    </row>
    <row r="10">
      <c r="A10" t="inlineStr">
        <is>
          <t>BOOKCASE</t>
        </is>
      </c>
      <c r="B10" t="inlineStr">
        <is>
          <t>bookcase</t>
        </is>
      </c>
      <c r="C10" t="inlineStr">
        <is>
          <t>书架</t>
        </is>
      </c>
      <c r="D10" t="n">
        <v>18</v>
      </c>
      <c r="E10" t="n">
        <v>9</v>
      </c>
      <c r="F10" t="inlineStr">
        <is>
          <t>4295,4303,4408,4409,4410,4411,4412,4413,4414,4415,4416,4417,4418,4419,4420,4421,4422,4423</t>
        </is>
      </c>
    </row>
    <row r="11">
      <c r="A11" t="inlineStr">
        <is>
          <t>BONES</t>
        </is>
      </c>
      <c r="B11" t="inlineStr">
        <is>
          <t>bones</t>
        </is>
      </c>
      <c r="C11" t="inlineStr">
        <is>
          <t>骨头</t>
        </is>
      </c>
      <c r="D11" t="n">
        <v>27</v>
      </c>
      <c r="E11" t="n">
        <v>12</v>
      </c>
      <c r="F11" t="inlineStr">
        <is>
          <t>5251,5253,5257,5368,5369,5370,5371,5372,5373,5376,5377,5378,5379,5380,5381,5488,5489,5490,5491,5492,5493,5496,5497,5498,5499,5500,5501</t>
        </is>
      </c>
    </row>
    <row r="12">
      <c r="A12" t="inlineStr">
        <is>
          <t>CARPET</t>
        </is>
      </c>
      <c r="B12" t="inlineStr">
        <is>
          <t>carpet</t>
        </is>
      </c>
      <c r="C12" t="inlineStr">
        <is>
          <t>地毯</t>
        </is>
      </c>
      <c r="D12" t="n">
        <v>39</v>
      </c>
      <c r="E12" t="n">
        <v>11</v>
      </c>
      <c r="F12" t="inlineStr">
        <is>
          <t>5608,5609,5610,5611,5612,5613,5616,5617,5618,5619,5620,5621,5728,5729,5730,5731,5732,5733,5736,5737,5738,5739,5740,5741,5848,5849,5850,5851,5852,5853,5854,5855,5856,5857,5858,5859,5860,5861,5975</t>
        </is>
      </c>
    </row>
    <row r="13">
      <c r="A13" t="inlineStr">
        <is>
          <t>POT</t>
        </is>
      </c>
      <c r="B13" t="inlineStr">
        <is>
          <t>pot</t>
        </is>
      </c>
      <c r="C13" t="inlineStr">
        <is>
          <t>陶罐</t>
        </is>
      </c>
      <c r="D13" t="n">
        <v>16</v>
      </c>
      <c r="E13" t="n">
        <v>10</v>
      </c>
      <c r="F13" t="inlineStr">
        <is>
          <t>4169,4171,4177,4179,4288,4289,4290,4291,4292,4293,4296,4297,4298,4299,4300,4301</t>
        </is>
      </c>
    </row>
    <row r="14">
      <c r="A14" t="inlineStr">
        <is>
          <t>BAR</t>
        </is>
      </c>
      <c r="B14" t="inlineStr">
        <is>
          <t>bar</t>
        </is>
      </c>
      <c r="C14" t="inlineStr">
        <is>
          <t>栏杆</t>
        </is>
      </c>
      <c r="D14" t="n">
        <v>12</v>
      </c>
      <c r="E14" t="n">
        <v>5</v>
      </c>
      <c r="F14" t="inlineStr">
        <is>
          <t>5128,5129,5130,5131,5132,5133,5136,5137,5138,5139,5140,5141</t>
        </is>
      </c>
    </row>
    <row r="15">
      <c r="A15" t="inlineStr">
        <is>
          <t>COFFIN</t>
        </is>
      </c>
      <c r="B15" t="inlineStr">
        <is>
          <t>coffin</t>
        </is>
      </c>
      <c r="C15" t="inlineStr">
        <is>
          <t>棺材</t>
        </is>
      </c>
      <c r="D15" t="n">
        <v>12</v>
      </c>
      <c r="E15" t="n">
        <v>2</v>
      </c>
      <c r="F15" t="inlineStr">
        <is>
          <t>5134,5135,5142,5143,5255,5374,5375,5494,5495,5614,5615,5735</t>
        </is>
      </c>
    </row>
    <row r="16">
      <c r="A16" t="inlineStr">
        <is>
          <t>COBWEBS</t>
        </is>
      </c>
      <c r="B16" t="inlineStr">
        <is>
          <t>cobwebs</t>
        </is>
      </c>
      <c r="C16" t="inlineStr">
        <is>
          <t>蛛网</t>
        </is>
      </c>
      <c r="D16" t="n">
        <v>11</v>
      </c>
      <c r="E16" t="n">
        <v>5</v>
      </c>
      <c r="F16" t="inlineStr">
        <is>
          <t>6208,6209,6210,6211,6212,6216,6217,6218,6219,6220,6331</t>
        </is>
      </c>
    </row>
    <row r="17">
      <c r="A17" t="inlineStr">
        <is>
          <t>CHAIR</t>
        </is>
      </c>
      <c r="B17" t="inlineStr">
        <is>
          <t>chair</t>
        </is>
      </c>
      <c r="C17" t="inlineStr">
        <is>
          <t>椅子</t>
        </is>
      </c>
      <c r="D17" t="n">
        <v>8</v>
      </c>
      <c r="E17" t="n">
        <v>4</v>
      </c>
      <c r="F17" t="inlineStr">
        <is>
          <t>4768,4770,4771,4773,4776,4778,4779,4781</t>
        </is>
      </c>
    </row>
    <row r="18">
      <c r="A18" t="inlineStr">
        <is>
          <t>BARREL</t>
        </is>
      </c>
      <c r="B18" t="inlineStr">
        <is>
          <t>barrel</t>
        </is>
      </c>
      <c r="C18" t="inlineStr">
        <is>
          <t>木桶</t>
        </is>
      </c>
      <c r="D18" t="n">
        <v>6</v>
      </c>
      <c r="E18" t="n">
        <v>4</v>
      </c>
      <c r="F18" t="inlineStr">
        <is>
          <t>57,176,177,184,185,297</t>
        </is>
      </c>
    </row>
    <row r="19">
      <c r="A19" t="inlineStr">
        <is>
          <t>TABLE</t>
        </is>
      </c>
      <c r="B19" t="inlineStr">
        <is>
          <t>table</t>
        </is>
      </c>
      <c r="C19" t="inlineStr">
        <is>
          <t>桌子</t>
        </is>
      </c>
      <c r="D19" t="n">
        <v>4</v>
      </c>
      <c r="E19" t="n">
        <v>2</v>
      </c>
      <c r="F19" t="inlineStr">
        <is>
          <t>4769,4772,4777,4780</t>
        </is>
      </c>
    </row>
    <row r="20">
      <c r="A20" t="inlineStr">
        <is>
          <t>BED</t>
        </is>
      </c>
      <c r="B20" t="inlineStr">
        <is>
          <t>bed</t>
        </is>
      </c>
      <c r="C20" t="inlineStr">
        <is>
          <t>床</t>
        </is>
      </c>
      <c r="D20" t="n">
        <v>4</v>
      </c>
      <c r="E20" t="n">
        <v>2</v>
      </c>
      <c r="F20" t="inlineStr">
        <is>
          <t>5008,5009,5016,5017</t>
        </is>
      </c>
    </row>
    <row r="21">
      <c r="A21" t="inlineStr">
        <is>
          <t>CRATE</t>
        </is>
      </c>
      <c r="B21" t="inlineStr">
        <is>
          <t>crate</t>
        </is>
      </c>
      <c r="C21" t="inlineStr">
        <is>
          <t>木箱</t>
        </is>
      </c>
      <c r="D21" t="n">
        <v>4</v>
      </c>
      <c r="E21" t="n">
        <v>2</v>
      </c>
      <c r="F21" t="inlineStr">
        <is>
          <t>5010,5011,5018,5019</t>
        </is>
      </c>
    </row>
    <row r="22">
      <c r="A22" t="inlineStr">
        <is>
          <t>SLEEPING_BAG</t>
        </is>
      </c>
      <c r="B22" t="inlineStr">
        <is>
          <t>sleeping bag</t>
        </is>
      </c>
      <c r="C22" t="inlineStr">
        <is>
          <t>睡袋</t>
        </is>
      </c>
      <c r="D22" t="n">
        <v>4</v>
      </c>
      <c r="E22" t="n">
        <v>2</v>
      </c>
      <c r="F22" t="inlineStr">
        <is>
          <t>5012,5013,5020,5021</t>
        </is>
      </c>
    </row>
    <row r="23">
      <c r="A23" t="inlineStr">
        <is>
          <t>ARMOR</t>
        </is>
      </c>
      <c r="B23" t="inlineStr">
        <is>
          <t>armor</t>
        </is>
      </c>
      <c r="C23" t="inlineStr">
        <is>
          <t>盔甲</t>
        </is>
      </c>
      <c r="D23" t="n">
        <v>1</v>
      </c>
      <c r="E23" t="n">
        <v>1</v>
      </c>
      <c r="F23" t="inlineStr">
        <is>
          <t>5249</t>
        </is>
      </c>
    </row>
    <row r="24">
      <c r="A24" t="inlineStr">
        <is>
          <t>BLOODY_PEDESTAL</t>
        </is>
      </c>
      <c r="B24" t="inlineStr">
        <is>
          <t>bloody pedestal</t>
        </is>
      </c>
      <c r="C24" t="inlineStr">
        <is>
          <t>血染基座</t>
        </is>
      </c>
      <c r="D24" t="n">
        <v>2</v>
      </c>
      <c r="E24" t="n">
        <v>2</v>
      </c>
      <c r="F24" t="inlineStr">
        <is>
          <t>6329,6337</t>
        </is>
      </c>
    </row>
    <row r="25">
      <c r="A25" t="inlineStr">
        <is>
          <t>CABBAGE</t>
        </is>
      </c>
      <c r="B25" t="inlineStr">
        <is>
          <t>cabbage</t>
        </is>
      </c>
      <c r="C25" t="inlineStr">
        <is>
          <t>白菜</t>
        </is>
      </c>
      <c r="D25" t="n">
        <v>2</v>
      </c>
      <c r="E25" t="n">
        <v>1</v>
      </c>
      <c r="F25" t="inlineStr">
        <is>
          <t>1602,1603</t>
        </is>
      </c>
    </row>
    <row r="26">
      <c r="A26" t="inlineStr">
        <is>
          <t>FLAIL</t>
        </is>
      </c>
      <c r="B26" t="inlineStr">
        <is>
          <t>flail</t>
        </is>
      </c>
      <c r="C26" t="inlineStr">
        <is>
          <t>连枷</t>
        </is>
      </c>
      <c r="D26" t="n">
        <v>1</v>
      </c>
      <c r="E26" t="n">
        <v>1</v>
      </c>
      <c r="F26" t="inlineStr">
        <is>
          <t>1001</t>
        </is>
      </c>
    </row>
    <row r="27">
      <c r="A27" t="inlineStr">
        <is>
          <t>FOUNTAIN</t>
        </is>
      </c>
      <c r="B27" t="inlineStr">
        <is>
          <t>fountain</t>
        </is>
      </c>
      <c r="C27" t="inlineStr">
        <is>
          <t>喷泉</t>
        </is>
      </c>
      <c r="D27" t="n">
        <v>2</v>
      </c>
      <c r="E27" t="n">
        <v>1</v>
      </c>
      <c r="F27" t="inlineStr">
        <is>
          <t>6449,6457</t>
        </is>
      </c>
    </row>
    <row r="28">
      <c r="A28" t="inlineStr">
        <is>
          <t>GRASS</t>
        </is>
      </c>
      <c r="B28" t="inlineStr">
        <is>
          <t>grass</t>
        </is>
      </c>
      <c r="C28" t="inlineStr">
        <is>
          <t>草地</t>
        </is>
      </c>
      <c r="D28" t="n">
        <v>19</v>
      </c>
      <c r="E28" t="n">
        <v>5</v>
      </c>
      <c r="F28" t="inlineStr">
        <is>
          <t>7387,7389,7627,7628,7629,7747,7749,7987,7988,7989,8107,8109,8347,8348,8349,8463,8465,8467,8469</t>
        </is>
      </c>
    </row>
    <row r="29">
      <c r="A29" t="inlineStr">
        <is>
          <t>MISC</t>
        </is>
      </c>
      <c r="B29" t="inlineStr">
        <is>
          <t>unregistered</t>
        </is>
      </c>
      <c r="C29" t="inlineStr">
        <is>
          <t>未登记杂项</t>
        </is>
      </c>
      <c r="D29" t="n">
        <v>147</v>
      </c>
      <c r="E29" t="n">
        <v>147</v>
      </c>
      <c r="F29" t="inlineStr">
        <is>
          <t>23,33,37,55,59,151,175,477,479,487,567,607,687,689,691,695,783,809,831,969,1241,1255,1361,1479,1601,1727,1729,2279,2317,2551,2557,2643,3095,3215,3335,3455,3575,3695,3855,3927,3967,3973,4047,4175,4287,4407,4695,4767,4887,5007,5127,5171,5247,5291,5295,5297,5367,5533,5535,5537,5607,5727,5847,6087,6447,6463,7025,7045,7351,7365,7419,7439,7441,7443,7445,7471,7485,7487,7591,7659,7711,7727,7735,7755,7763,7779,7833,7835,7837,7855,7883,7935,7953,7975,8003,8123,8175,8243,8295,8455,8471,8501,8575,8583,8585,8587,8589,8591,8695,8711,8983,9203,9205,9223,9323,9327,9341,9443,9445,9895,10015,10063,10135,10383,10615,10617,10629,10735,10737,10743,10745,10749,10855,10857,10863,10865,10869,10987,11105,11107,11109,11223,11225,11341,11349,11469,11589</t>
        </is>
      </c>
    </row>
    <row r="30">
      <c r="A30" t="inlineStr">
        <is>
          <t>MUSHROOM</t>
        </is>
      </c>
      <c r="B30" t="inlineStr">
        <is>
          <t>mushroom</t>
        </is>
      </c>
      <c r="C30" t="inlineStr">
        <is>
          <t>蘑菇</t>
        </is>
      </c>
      <c r="D30" t="n">
        <v>3</v>
      </c>
      <c r="E30" t="n">
        <v>2</v>
      </c>
      <c r="F30" t="inlineStr">
        <is>
          <t>1605,1724,1725</t>
        </is>
      </c>
    </row>
    <row r="31">
      <c r="A31" t="inlineStr">
        <is>
          <t>SHRUB</t>
        </is>
      </c>
      <c r="B31" t="inlineStr">
        <is>
          <t>shrub</t>
        </is>
      </c>
      <c r="C31" t="inlineStr">
        <is>
          <t>灌木</t>
        </is>
      </c>
      <c r="D31" t="n">
        <v>3</v>
      </c>
      <c r="E31" t="n">
        <v>1</v>
      </c>
      <c r="F31" t="inlineStr">
        <is>
          <t>1722,1723,1726</t>
        </is>
      </c>
    </row>
    <row r="32">
      <c r="A32" t="inlineStr">
        <is>
          <t>WILD_GRASS</t>
        </is>
      </c>
      <c r="B32" t="inlineStr">
        <is>
          <t>wild grass</t>
        </is>
      </c>
      <c r="C32" t="inlineStr">
        <is>
          <t>野草</t>
        </is>
      </c>
      <c r="D32" t="n">
        <v>16</v>
      </c>
      <c r="E32" t="n">
        <v>4</v>
      </c>
      <c r="F32" t="inlineStr">
        <is>
          <t>1242,1243,1244,1245,1250,1251,1252,1253,1362,1363,1364,1365,1370,1371,1372,1373</t>
        </is>
      </c>
    </row>
    <row r="33">
      <c r="A33" t="inlineStr">
        <is>
          <t>WOODEN_FLOOR</t>
        </is>
      </c>
      <c r="B33" t="inlineStr">
        <is>
          <t>wooden floor</t>
        </is>
      </c>
      <c r="C33" t="inlineStr">
        <is>
          <t>木地板</t>
        </is>
      </c>
      <c r="D33" t="n">
        <v>23</v>
      </c>
      <c r="E33" t="n">
        <v>4</v>
      </c>
      <c r="F33" t="inlineStr">
        <is>
          <t>8703,8705,8709,8827,8829,9067,9068,9069,9187,9189,9427,9428,9429,9547,9549,9787,9788,9789,9907,9909,10147,10148,10149</t>
        </is>
      </c>
    </row>
    <row r="34">
      <c r="A34" t="inlineStr">
        <is>
          <t>WOODEN_WALL</t>
        </is>
      </c>
      <c r="B34" t="inlineStr">
        <is>
          <t>wooden wall</t>
        </is>
      </c>
      <c r="C34" t="inlineStr">
        <is>
          <t>木墙</t>
        </is>
      </c>
      <c r="D34" t="n">
        <v>16</v>
      </c>
      <c r="E34" t="n">
        <v>1</v>
      </c>
      <c r="F34" t="inlineStr">
        <is>
          <t>7409,7645,7647,7649,7769,8005,8007,8009,8129,8365,8367,8369,8489,8725,8727,8729</t>
        </is>
      </c>
    </row>
    <row r="35">
      <c r="A35" t="inlineStr">
        <is>
          <t>COBBLE_STONE_FLOOR</t>
        </is>
      </c>
      <c r="B35" t="inlineStr">
        <is>
          <t>cobble stone floor</t>
        </is>
      </c>
      <c r="C35" t="inlineStr">
        <is>
          <t>鹅卵石地板</t>
        </is>
      </c>
      <c r="D35" t="n">
        <v>5</v>
      </c>
      <c r="E35" t="n">
        <v>0</v>
      </c>
      <c r="F35" t="inlineStr">
        <is>
          <t>10274,10276,10514,10515,10516</t>
        </is>
      </c>
    </row>
    <row r="36">
      <c r="A36" t="inlineStr">
        <is>
          <t>DIRT</t>
        </is>
      </c>
      <c r="B36" t="inlineStr">
        <is>
          <t>dirt</t>
        </is>
      </c>
      <c r="C36" t="inlineStr">
        <is>
          <t>泥土</t>
        </is>
      </c>
      <c r="D36" t="n">
        <v>20</v>
      </c>
      <c r="E36" t="n">
        <v>0</v>
      </c>
      <c r="F36" t="inlineStr">
        <is>
          <t>8820,8822,9060,9061,9062,9180,9182,9420,9421,9422,9540,9542,9780,9781,9782,9900,9902,10140,10141,10142</t>
        </is>
      </c>
    </row>
    <row r="37">
      <c r="A37" t="inlineStr">
        <is>
          <t>DIRT_WALL</t>
        </is>
      </c>
      <c r="B37" t="inlineStr">
        <is>
          <t>dirt wall</t>
        </is>
      </c>
      <c r="C37" t="inlineStr">
        <is>
          <t>土墙</t>
        </is>
      </c>
      <c r="D37" t="n">
        <v>16</v>
      </c>
      <c r="E37" t="n">
        <v>0</v>
      </c>
      <c r="F37" t="inlineStr">
        <is>
          <t>8842,9078,9080,9082,9202,9438,9440,9442,9562,9798,9800,9802,9922,10158,10160,10162</t>
        </is>
      </c>
    </row>
    <row r="38">
      <c r="A38" t="inlineStr">
        <is>
          <t>LOGS</t>
        </is>
      </c>
      <c r="B38" t="inlineStr">
        <is>
          <t>logs</t>
        </is>
      </c>
      <c r="C38" t="inlineStr">
        <is>
          <t>原木</t>
        </is>
      </c>
      <c r="D38" t="n">
        <v>2</v>
      </c>
      <c r="E38" t="n">
        <v>0</v>
      </c>
      <c r="F38" t="inlineStr">
        <is>
          <t>5254,5262</t>
        </is>
      </c>
    </row>
    <row r="39">
      <c r="A39" t="inlineStr">
        <is>
          <t>MINE_WALL</t>
        </is>
      </c>
      <c r="B39" t="inlineStr">
        <is>
          <t>mine wall</t>
        </is>
      </c>
      <c r="C39" t="inlineStr">
        <is>
          <t>矿墙</t>
        </is>
      </c>
      <c r="D39" t="n">
        <v>16</v>
      </c>
      <c r="E39" t="n">
        <v>0</v>
      </c>
      <c r="F39" t="inlineStr">
        <is>
          <t>7416,7652,7654,7656,7776,8012,8014,8016,8136,8372,8374,8376,8496,8732,8734,8736</t>
        </is>
      </c>
    </row>
    <row r="40">
      <c r="A40" t="inlineStr">
        <is>
          <t>MOSSY_STONE_WALL</t>
        </is>
      </c>
      <c r="B40" t="inlineStr">
        <is>
          <t>mossy stone wall</t>
        </is>
      </c>
      <c r="C40" t="inlineStr">
        <is>
          <t>苔石墙</t>
        </is>
      </c>
      <c r="D40" t="n">
        <v>16</v>
      </c>
      <c r="E40" t="n">
        <v>0</v>
      </c>
      <c r="F40" t="inlineStr">
        <is>
          <t>10302,10538,10540,10542,10662,10898,10900,10902,11022,11258,11260,11262,11382,11618,11620,11622</t>
        </is>
      </c>
    </row>
    <row r="41">
      <c r="A41" t="inlineStr">
        <is>
          <t>PEDESTAL</t>
        </is>
      </c>
      <c r="B41" t="inlineStr">
        <is>
          <t>pedestal</t>
        </is>
      </c>
      <c r="C41" t="inlineStr">
        <is>
          <t>基座</t>
        </is>
      </c>
      <c r="D41" t="n">
        <v>3</v>
      </c>
      <c r="E41" t="n">
        <v>0</v>
      </c>
      <c r="F41" t="inlineStr">
        <is>
          <t>5734,6328,6336</t>
        </is>
      </c>
    </row>
    <row r="42">
      <c r="A42" t="inlineStr">
        <is>
          <t>STONE_FLOOR</t>
        </is>
      </c>
      <c r="B42" t="inlineStr">
        <is>
          <t>stone floor</t>
        </is>
      </c>
      <c r="C42" t="inlineStr">
        <is>
          <t>石地板</t>
        </is>
      </c>
      <c r="D42" t="n">
        <v>35</v>
      </c>
      <c r="E42" t="n">
        <v>0</v>
      </c>
      <c r="F42" t="inlineStr">
        <is>
          <t>7380,7382,7620,7621,7622,7740,7742,7980,7981,7982,8100,8102,8340,8341,8342,8460,8462,8700,8701,8702,10634,10636,10874,10875,10876,10994,10996,11234,11235,11236,11354,11356,11594,11595,11596</t>
        </is>
      </c>
    </row>
    <row r="43">
      <c r="A43" t="inlineStr">
        <is>
          <t>STONE_WALL</t>
        </is>
      </c>
      <c r="B43" t="inlineStr">
        <is>
          <t>stone wall</t>
        </is>
      </c>
      <c r="C43" t="inlineStr">
        <is>
          <t>石墙</t>
        </is>
      </c>
      <c r="D43" t="n">
        <v>16</v>
      </c>
      <c r="E43" t="n">
        <v>0</v>
      </c>
      <c r="F43" t="inlineStr">
        <is>
          <t>7402,7638,7640,7642,7762,7998,8000,8002,8122,8358,8360,8362,8482,8718,8720,8722</t>
        </is>
      </c>
    </row>
    <row r="44">
      <c r="A44" t="inlineStr">
        <is>
          <t>THRONE</t>
        </is>
      </c>
      <c r="B44" t="inlineStr">
        <is>
          <t>throne</t>
        </is>
      </c>
      <c r="C44" t="inlineStr">
        <is>
          <t>王座</t>
        </is>
      </c>
      <c r="D44" t="n">
        <v>2</v>
      </c>
      <c r="E44" t="n">
        <v>0</v>
      </c>
      <c r="F44" t="inlineStr">
        <is>
          <t>4774,4782</t>
        </is>
      </c>
    </row>
    <row r="45">
      <c r="A45" t="inlineStr">
        <is>
          <t>WEIRD_SHARP_OBJECT</t>
        </is>
      </c>
      <c r="B45" t="inlineStr">
        <is>
          <t>weird sharp object</t>
        </is>
      </c>
      <c r="C45" t="inlineStr">
        <is>
          <t>锐器</t>
        </is>
      </c>
      <c r="D45" t="n">
        <v>1</v>
      </c>
      <c r="E45" t="n">
        <v>0</v>
      </c>
      <c r="F45" t="inlineStr">
        <is>
          <t>905</t>
        </is>
      </c>
    </row>
    <row r="46">
      <c r="A46" t="inlineStr">
        <is>
          <t>WHIP</t>
        </is>
      </c>
      <c r="B46" t="inlineStr">
        <is>
          <t>whip</t>
        </is>
      </c>
      <c r="C46" t="inlineStr">
        <is>
          <t>鞭子</t>
        </is>
      </c>
      <c r="D46" t="n">
        <v>1</v>
      </c>
      <c r="E46" t="n">
        <v>0</v>
      </c>
      <c r="F46" t="inlineStr">
        <is>
          <t>1810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Larken</dc:creator>
  <dcterms:created xmlns:dcterms="http://purl.org/dc/terms/" xmlns:xsi="http://www.w3.org/2001/XMLSchema-instance" xsi:type="dcterms:W3CDTF">2018-11-17T00:51:41Z</dcterms:created>
  <dcterms:modified xmlns:dcterms="http://purl.org/dc/terms/" xmlns:xsi="http://www.w3.org/2001/XMLSchema-instance" xsi:type="dcterms:W3CDTF">2026-10-11T18:50:24Z</dcterms:modified>
  <cp:lastModifiedBy>Larken</cp:lastModifiedBy>
</cp:coreProperties>
</file>